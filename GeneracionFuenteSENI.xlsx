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cne2016-my.sharepoint.com/personal/agonzalez_cne_gob_do/Documents/Escritorio/"/>
    </mc:Choice>
  </mc:AlternateContent>
  <xr:revisionPtr revIDLastSave="0" documentId="8_{DB69E14F-7679-4644-9DA7-58A497E4F81D}" xr6:coauthVersionLast="47" xr6:coauthVersionMax="47" xr10:uidLastSave="{00000000-0000-0000-0000-000000000000}"/>
  <bookViews>
    <workbookView xWindow="-28908" yWindow="-108" windowWidth="29016" windowHeight="15696" xr2:uid="{D63B8D3D-B384-433D-A671-4B776E226B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C19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C36" i="1"/>
</calcChain>
</file>

<file path=xl/sharedStrings.xml><?xml version="1.0" encoding="utf-8"?>
<sst xmlns="http://schemas.openxmlformats.org/spreadsheetml/2006/main" count="34" uniqueCount="21">
  <si>
    <t>Comisión Nacional de Energía</t>
  </si>
  <si>
    <t>Gerencia de Planificación</t>
  </si>
  <si>
    <t>División de Planificación Energética</t>
  </si>
  <si>
    <t>Sistema de Información Energética Nacional</t>
  </si>
  <si>
    <t xml:space="preserve">Tabla 1. Generación bruta de energía eléctrica por fuente insumo generación 2000 - 2025 (*) - Excluye demanda de Barrick Gold </t>
  </si>
  <si>
    <t>Fuente</t>
  </si>
  <si>
    <t>Sol</t>
  </si>
  <si>
    <t>Viento</t>
  </si>
  <si>
    <t>Agua</t>
  </si>
  <si>
    <t>Bagazo</t>
  </si>
  <si>
    <t>Biomasa</t>
  </si>
  <si>
    <t>Gas Natural</t>
  </si>
  <si>
    <t>Carbón Mineral</t>
  </si>
  <si>
    <t>Fueloil</t>
  </si>
  <si>
    <t>Diesel</t>
  </si>
  <si>
    <t>Total</t>
  </si>
  <si>
    <r>
      <rPr>
        <b/>
        <sz val="11"/>
        <rFont val="Futura Bk BT"/>
        <family val="2"/>
      </rPr>
      <t>Fuentes:</t>
    </r>
    <r>
      <rPr>
        <sz val="11"/>
        <rFont val="Futura Bk BT"/>
        <family val="2"/>
      </rPr>
      <t xml:space="preserve"> Sistema de Información Energética Nacional (SIEN), en base a informaciones del Corporación Dominicana de Empresas Eléctricas Estatales, Anuario Estadístico 2000-2001 y Organismo Coordinador del Sistema Eléctrico Nacional Interconectado OC-SENI, 2002-2025</t>
    </r>
  </si>
  <si>
    <r>
      <rPr>
        <b/>
        <sz val="11"/>
        <color theme="1"/>
        <rFont val="Futura Bk BT"/>
        <family val="2"/>
      </rPr>
      <t>Nota:</t>
    </r>
    <r>
      <rPr>
        <sz val="11"/>
        <color theme="1"/>
        <rFont val="Futura Bk BT"/>
        <family val="2"/>
      </rPr>
      <t xml:space="preserve"> Esta versión incluye las inyecciones netas de la central Quisqueya 1 (Barrick Gold / PVDC) al sistema eléctrico nacional, no incluye los Sistemas Aislados, ni la autoproducción.</t>
    </r>
  </si>
  <si>
    <t>(*) Información 2025 preliminar, sujeta a ajustes o revisiones.</t>
  </si>
  <si>
    <t xml:space="preserve">Tabla 2. Generación bruta de energía eléctrica por fuente insumo generación 2000 - 2025 (*) - Incluye demanda de Barrick Gold </t>
  </si>
  <si>
    <r>
      <rPr>
        <b/>
        <sz val="11"/>
        <color theme="1"/>
        <rFont val="Futura Bk BT"/>
        <family val="2"/>
      </rPr>
      <t>Nota:</t>
    </r>
    <r>
      <rPr>
        <sz val="11"/>
        <color theme="1"/>
        <rFont val="Futura Bk BT"/>
        <family val="2"/>
      </rPr>
      <t xml:space="preserve"> Esta versión incluye las inyecciones totales de la central Quisqueya 1 (Barrick Gold / PVDC) al sistema eléctrico nacional, no incluye los Sistemas Aislados, ni la autoproducción.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</si>
</sst>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Aptos Narrow"/>
      <family val="2"/>
      <scheme val="minor"/>
    </font>
    <font>
      <b/>
      <sz val="11"/>
      <name val="Futura Bk BT"/>
      <family val="2"/>
    </font>
    <font>
      <sz val="11"/>
      <name val="Futura Bk BT"/>
      <family val="2"/>
    </font>
    <font>
      <sz val="11"/>
      <color theme="1"/>
      <name val="Futura Bk BT"/>
      <family val="2"/>
    </font>
    <font>
      <b/>
      <sz val="11"/>
      <color theme="0"/>
      <name val="Futura Bk BT"/>
      <family val="2"/>
    </font>
    <font>
      <b/>
      <sz val="11"/>
      <color theme="1"/>
      <name val="Futura Bk BT"/>
      <family val="2"/>
    </font>
    <font>
      <b/>
      <sz val="9"/>
      <name val="Futura Bk BT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1" fontId="4" fillId="2" borderId="1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>
      <alignment vertical="center"/>
    </xf>
    <xf numFmtId="43" fontId="0" fillId="0" borderId="0" xfId="1" applyFont="1"/>
    <xf numFmtId="43" fontId="8" fillId="0" borderId="0" xfId="1" applyFont="1"/>
    <xf numFmtId="0" fontId="8" fillId="0" borderId="0" xfId="0" applyFont="1"/>
    <xf numFmtId="43" fontId="0" fillId="0" borderId="0" xfId="0" applyNumberFormat="1"/>
    <xf numFmtId="3" fontId="6" fillId="3" borderId="0" xfId="0" applyNumberFormat="1" applyFont="1" applyFill="1" applyAlignment="1">
      <alignment horizontal="left" indent="1"/>
    </xf>
    <xf numFmtId="43" fontId="9" fillId="0" borderId="0" xfId="1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28575</xdr:rowOff>
    </xdr:from>
    <xdr:to>
      <xdr:col>2</xdr:col>
      <xdr:colOff>741357</xdr:colOff>
      <xdr:row>4</xdr:row>
      <xdr:rowOff>120419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87822F-720A-4784-8057-F19C86C79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8575"/>
          <a:ext cx="1827207" cy="85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2840-601F-4869-8F6C-5B4B76820F6B}">
  <dimension ref="B2:AB55"/>
  <sheetViews>
    <sheetView showGridLines="0" tabSelected="1" zoomScale="85" zoomScaleNormal="85" workbookViewId="0">
      <pane xSplit="2" ySplit="8" topLeftCell="C9" activePane="bottomRight" state="frozen"/>
      <selection pane="bottomRight" activeCell="F28" sqref="F28"/>
      <selection pane="bottomLeft" activeCell="A11" sqref="A11"/>
      <selection pane="topRight" activeCell="C1" sqref="C1"/>
    </sheetView>
  </sheetViews>
  <sheetFormatPr defaultColWidth="11.42578125" defaultRowHeight="14.45"/>
  <cols>
    <col min="2" max="2" width="15.42578125" customWidth="1"/>
    <col min="3" max="4" width="11.5703125" bestFit="1" customWidth="1"/>
    <col min="5" max="6" width="12.85546875" bestFit="1" customWidth="1"/>
    <col min="7" max="7" width="11.5703125" bestFit="1" customWidth="1"/>
    <col min="8" max="28" width="12.85546875" bestFit="1" customWidth="1"/>
  </cols>
  <sheetData>
    <row r="2" spans="2:28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28"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2:28"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2:28">
      <c r="B5" s="12" t="s">
        <v>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8" spans="2:28">
      <c r="B8" s="1" t="s">
        <v>4</v>
      </c>
    </row>
    <row r="9" spans="2:28">
      <c r="B9" s="8" t="s">
        <v>5</v>
      </c>
      <c r="C9" s="2">
        <v>2000</v>
      </c>
      <c r="D9" s="2">
        <v>2001</v>
      </c>
      <c r="E9" s="2">
        <v>2002</v>
      </c>
      <c r="F9" s="2">
        <v>2003</v>
      </c>
      <c r="G9" s="2">
        <v>2004</v>
      </c>
      <c r="H9" s="2">
        <v>2005</v>
      </c>
      <c r="I9" s="2">
        <v>2006</v>
      </c>
      <c r="J9" s="2">
        <v>2007</v>
      </c>
      <c r="K9" s="2">
        <v>2008</v>
      </c>
      <c r="L9" s="2">
        <v>2009</v>
      </c>
      <c r="M9" s="2">
        <v>2010</v>
      </c>
      <c r="N9" s="2">
        <v>2011</v>
      </c>
      <c r="O9" s="2">
        <v>2012</v>
      </c>
      <c r="P9" s="2">
        <v>2013</v>
      </c>
      <c r="Q9" s="2">
        <v>2014</v>
      </c>
      <c r="R9" s="2">
        <v>2015</v>
      </c>
      <c r="S9" s="2">
        <v>2016</v>
      </c>
      <c r="T9" s="2">
        <v>2017</v>
      </c>
      <c r="U9" s="2">
        <v>2018</v>
      </c>
      <c r="V9" s="2">
        <v>2019</v>
      </c>
      <c r="W9" s="2">
        <v>2020</v>
      </c>
      <c r="X9" s="2">
        <v>2021</v>
      </c>
      <c r="Y9" s="2">
        <v>2022</v>
      </c>
      <c r="Z9" s="2">
        <v>2023</v>
      </c>
      <c r="AA9" s="2">
        <v>2024</v>
      </c>
      <c r="AB9" s="2">
        <v>2025</v>
      </c>
    </row>
    <row r="10" spans="2:28">
      <c r="B10" t="s">
        <v>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23.670246369069954</v>
      </c>
      <c r="T10" s="4">
        <v>47.693232409908461</v>
      </c>
      <c r="U10" s="4">
        <v>82.481589760082443</v>
      </c>
      <c r="V10" s="4">
        <v>161.49418112160842</v>
      </c>
      <c r="W10" s="4">
        <v>307.3355884562601</v>
      </c>
      <c r="X10" s="4">
        <v>489.37475675967437</v>
      </c>
      <c r="Y10" s="4">
        <v>742.99946490213358</v>
      </c>
      <c r="Z10" s="4">
        <v>1103.1165411453785</v>
      </c>
      <c r="AA10" s="4">
        <v>1490.5264980181785</v>
      </c>
      <c r="AB10" s="4">
        <v>2373.0070688268188</v>
      </c>
    </row>
    <row r="11" spans="2:28">
      <c r="B11" t="s">
        <v>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13.992586525405198</v>
      </c>
      <c r="O11" s="4">
        <v>95.817791584869241</v>
      </c>
      <c r="P11" s="4">
        <v>243.04753496939131</v>
      </c>
      <c r="Q11" s="4">
        <v>243.19845619063275</v>
      </c>
      <c r="R11" s="4">
        <v>290.04122423856097</v>
      </c>
      <c r="S11" s="4">
        <v>322.81004621656018</v>
      </c>
      <c r="T11" s="4">
        <v>390.40429307037721</v>
      </c>
      <c r="U11" s="4">
        <v>497.48038137608307</v>
      </c>
      <c r="V11" s="4">
        <v>812.77567848639194</v>
      </c>
      <c r="W11" s="4">
        <v>1168.9470906385554</v>
      </c>
      <c r="X11" s="4">
        <v>1238.9618128860513</v>
      </c>
      <c r="Y11" s="4">
        <v>1215.1387145737567</v>
      </c>
      <c r="Z11" s="4">
        <v>1156.9012410650876</v>
      </c>
      <c r="AA11" s="4">
        <v>1087.0085910650503</v>
      </c>
      <c r="AB11" s="4">
        <v>1221.6566429457648</v>
      </c>
    </row>
    <row r="12" spans="2:28">
      <c r="B12" t="s">
        <v>8</v>
      </c>
      <c r="C12" s="4">
        <v>933.64892199999997</v>
      </c>
      <c r="D12" s="4">
        <v>738.12446779999993</v>
      </c>
      <c r="E12" s="4">
        <v>972.82249827329815</v>
      </c>
      <c r="F12" s="4">
        <v>1373.6911270612559</v>
      </c>
      <c r="G12" s="4">
        <v>1581.5811077673527</v>
      </c>
      <c r="H12" s="4">
        <v>1896.4110378946227</v>
      </c>
      <c r="I12" s="4">
        <v>1764.2749920454626</v>
      </c>
      <c r="J12" s="4">
        <v>1680.1119839203757</v>
      </c>
      <c r="K12" s="4">
        <v>1382.4645581055888</v>
      </c>
      <c r="L12" s="4">
        <v>1453.1367427512271</v>
      </c>
      <c r="M12" s="4">
        <v>1416.0844393037107</v>
      </c>
      <c r="N12" s="4">
        <v>1513.3775811150565</v>
      </c>
      <c r="O12" s="4">
        <v>1782.8908885115018</v>
      </c>
      <c r="P12" s="4">
        <v>1871.7793182964192</v>
      </c>
      <c r="Q12" s="4">
        <v>1266.8623575157803</v>
      </c>
      <c r="R12" s="4">
        <v>939.97822848465569</v>
      </c>
      <c r="S12" s="4">
        <v>1513.038889152403</v>
      </c>
      <c r="T12" s="4">
        <v>2190.0842062554557</v>
      </c>
      <c r="U12" s="4">
        <v>1772.824755381441</v>
      </c>
      <c r="V12" s="4">
        <v>1031.3097065189004</v>
      </c>
      <c r="W12" s="4">
        <v>1252.2045444469297</v>
      </c>
      <c r="X12" s="4">
        <v>1479.7810442286002</v>
      </c>
      <c r="Y12" s="4">
        <v>1442.0246918975149</v>
      </c>
      <c r="Z12" s="4">
        <v>1143.1712941326975</v>
      </c>
      <c r="AA12" s="4">
        <v>1431.2358163018826</v>
      </c>
      <c r="AB12" s="4">
        <v>1455.1101600207569</v>
      </c>
    </row>
    <row r="13" spans="2:28">
      <c r="B13" t="s">
        <v>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79.864008450239581</v>
      </c>
      <c r="U13" s="4">
        <v>160.64255298789072</v>
      </c>
      <c r="V13" s="4">
        <v>153.10868794475394</v>
      </c>
      <c r="W13" s="4">
        <v>130.5169450854321</v>
      </c>
      <c r="X13" s="4">
        <v>174.95820609983878</v>
      </c>
      <c r="Y13" s="4">
        <v>165.06745470535535</v>
      </c>
      <c r="Z13" s="4">
        <v>178.42928058253003</v>
      </c>
      <c r="AA13" s="4">
        <v>159.65889582071802</v>
      </c>
      <c r="AB13" s="9">
        <v>163.06076352813284</v>
      </c>
    </row>
    <row r="14" spans="2:28">
      <c r="B14" t="s">
        <v>10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16.066232840430818</v>
      </c>
      <c r="V14" s="4">
        <v>33.047933791361181</v>
      </c>
      <c r="W14" s="4">
        <v>12.685217699104687</v>
      </c>
      <c r="X14" s="4">
        <v>12.782380915801216</v>
      </c>
      <c r="Y14" s="4">
        <v>34.841720707515137</v>
      </c>
      <c r="Z14" s="4">
        <v>30.223089407094498</v>
      </c>
      <c r="AA14" s="4">
        <v>56.346450647719927</v>
      </c>
      <c r="AB14" s="9">
        <v>38.808154965462059</v>
      </c>
    </row>
    <row r="15" spans="2:28">
      <c r="B15" t="s">
        <v>11</v>
      </c>
      <c r="C15" s="4">
        <v>0</v>
      </c>
      <c r="D15" s="4">
        <v>0</v>
      </c>
      <c r="E15" s="4">
        <v>0</v>
      </c>
      <c r="F15" s="4">
        <v>676.69385377084154</v>
      </c>
      <c r="G15" s="4">
        <v>738.60534758231324</v>
      </c>
      <c r="H15" s="4">
        <v>1113.0256795821076</v>
      </c>
      <c r="I15" s="4">
        <v>1732.3837541205289</v>
      </c>
      <c r="J15" s="4">
        <v>2332.3533589422973</v>
      </c>
      <c r="K15" s="4">
        <v>2453.60991654606</v>
      </c>
      <c r="L15" s="4">
        <v>2258.8597743421883</v>
      </c>
      <c r="M15" s="4">
        <v>3372.6089601626945</v>
      </c>
      <c r="N15" s="4">
        <v>3452.8234057079526</v>
      </c>
      <c r="O15" s="4">
        <v>3523.6266383788061</v>
      </c>
      <c r="P15" s="4">
        <v>4409.1232967809592</v>
      </c>
      <c r="Q15" s="4">
        <v>4232.4040301821906</v>
      </c>
      <c r="R15" s="4">
        <v>4224.8374771004701</v>
      </c>
      <c r="S15" s="4">
        <v>3770.7253910756344</v>
      </c>
      <c r="T15" s="4">
        <v>5434.4344822155372</v>
      </c>
      <c r="U15" s="4">
        <v>5261.0424174234822</v>
      </c>
      <c r="V15" s="4">
        <v>5587.0847320990542</v>
      </c>
      <c r="W15" s="4">
        <v>5609.0959549168183</v>
      </c>
      <c r="X15" s="4">
        <v>7597.580490955851</v>
      </c>
      <c r="Y15" s="4">
        <v>7398.2895307870567</v>
      </c>
      <c r="Z15" s="4">
        <v>8169.9541431446896</v>
      </c>
      <c r="AA15" s="4">
        <v>9417.3193101667239</v>
      </c>
      <c r="AB15" s="4">
        <v>8934.3233446302511</v>
      </c>
    </row>
    <row r="16" spans="2:28">
      <c r="B16" t="s">
        <v>12</v>
      </c>
      <c r="C16" s="4">
        <v>0</v>
      </c>
      <c r="D16" s="4">
        <v>144.971136</v>
      </c>
      <c r="E16" s="4">
        <v>591.68541802957145</v>
      </c>
      <c r="F16" s="4">
        <v>1348.8929009606836</v>
      </c>
      <c r="G16" s="4">
        <v>1321.6210667718733</v>
      </c>
      <c r="H16" s="4">
        <v>1425.7990788532177</v>
      </c>
      <c r="I16" s="4">
        <v>1956.1470587236822</v>
      </c>
      <c r="J16" s="4">
        <v>2070.2030745380944</v>
      </c>
      <c r="K16" s="4">
        <v>2042.6505221622019</v>
      </c>
      <c r="L16" s="4">
        <v>1933.48908584168</v>
      </c>
      <c r="M16" s="4">
        <v>1853.0210493966197</v>
      </c>
      <c r="N16" s="4">
        <v>1999.9896019323605</v>
      </c>
      <c r="O16" s="4">
        <v>2124.0773872455975</v>
      </c>
      <c r="P16" s="4">
        <v>2214.6173269625501</v>
      </c>
      <c r="Q16" s="4">
        <v>2424.8540851421972</v>
      </c>
      <c r="R16" s="4">
        <v>2312.9246729855968</v>
      </c>
      <c r="S16" s="4">
        <v>2359.2653672520028</v>
      </c>
      <c r="T16" s="4">
        <v>2407.1323646941305</v>
      </c>
      <c r="U16" s="4">
        <v>2288.2770204426147</v>
      </c>
      <c r="V16" s="4">
        <v>3987.4349752200028</v>
      </c>
      <c r="W16" s="4">
        <v>7108.9780727793514</v>
      </c>
      <c r="X16" s="4">
        <v>6521.4950078141437</v>
      </c>
      <c r="Y16" s="4">
        <v>6673.6416380837763</v>
      </c>
      <c r="Z16" s="4">
        <v>7309.9611798828046</v>
      </c>
      <c r="AA16" s="4">
        <v>7401.9457847701842</v>
      </c>
      <c r="AB16" s="4">
        <v>7386.0713967386855</v>
      </c>
    </row>
    <row r="17" spans="2:28">
      <c r="B17" t="s">
        <v>13</v>
      </c>
      <c r="C17" s="4">
        <v>4170.9909016430411</v>
      </c>
      <c r="D17" s="4">
        <v>6204.059662801048</v>
      </c>
      <c r="E17" s="4">
        <v>6521.4530674279631</v>
      </c>
      <c r="F17" s="4">
        <v>5816.2749884613249</v>
      </c>
      <c r="G17" s="4">
        <v>3831.7380346512473</v>
      </c>
      <c r="H17" s="4">
        <v>4653.3513958388612</v>
      </c>
      <c r="I17" s="4">
        <v>4734.4996255947535</v>
      </c>
      <c r="J17" s="4">
        <v>4758.4026164076895</v>
      </c>
      <c r="K17" s="4">
        <v>4877.0941713293769</v>
      </c>
      <c r="L17" s="4">
        <v>5067.9748942058868</v>
      </c>
      <c r="M17" s="4">
        <v>5202.3856413780768</v>
      </c>
      <c r="N17" s="4">
        <v>4822.7058204817904</v>
      </c>
      <c r="O17" s="4">
        <v>5343.8308060235349</v>
      </c>
      <c r="P17" s="4">
        <v>4921.4451330366464</v>
      </c>
      <c r="Q17" s="4">
        <v>5526.7805645413982</v>
      </c>
      <c r="R17" s="4">
        <v>5804.1545031319292</v>
      </c>
      <c r="S17" s="4">
        <v>6162.1175207440192</v>
      </c>
      <c r="T17" s="4">
        <v>4624.8422658553736</v>
      </c>
      <c r="U17" s="4">
        <v>5229.1218560643756</v>
      </c>
      <c r="V17" s="4">
        <v>5129.0006800249412</v>
      </c>
      <c r="W17" s="4">
        <v>2671.3561521039192</v>
      </c>
      <c r="X17" s="4">
        <v>2640.905532728792</v>
      </c>
      <c r="Y17" s="4">
        <v>3316.8760337505423</v>
      </c>
      <c r="Z17" s="4">
        <v>3474.6635934083224</v>
      </c>
      <c r="AA17" s="4">
        <v>2987.208189658128</v>
      </c>
      <c r="AB17" s="4">
        <v>3230.1739409823863</v>
      </c>
    </row>
    <row r="18" spans="2:28">
      <c r="B18" t="s">
        <v>14</v>
      </c>
      <c r="C18" s="4">
        <v>4596.500586756958</v>
      </c>
      <c r="D18" s="4">
        <v>2706.2065222389515</v>
      </c>
      <c r="E18" s="4">
        <v>2652.4017192315659</v>
      </c>
      <c r="F18" s="4">
        <v>1757.470539399696</v>
      </c>
      <c r="G18" s="4">
        <v>1590.9162533464576</v>
      </c>
      <c r="H18" s="4">
        <v>1093.6801628990816</v>
      </c>
      <c r="I18" s="4">
        <v>895.41549982528886</v>
      </c>
      <c r="J18" s="4">
        <v>674.40465576166901</v>
      </c>
      <c r="K18" s="4">
        <v>1131.9337329199448</v>
      </c>
      <c r="L18" s="4">
        <v>926.91073687978439</v>
      </c>
      <c r="M18" s="4">
        <v>618.45210985945096</v>
      </c>
      <c r="N18" s="4">
        <v>1172.2015731098109</v>
      </c>
      <c r="O18" s="4">
        <v>998.81263649609298</v>
      </c>
      <c r="P18" s="4">
        <v>712.75155834461623</v>
      </c>
      <c r="Q18" s="4">
        <v>332.38157394152836</v>
      </c>
      <c r="R18" s="4">
        <v>1185.3128667324238</v>
      </c>
      <c r="S18" s="4">
        <v>1335.2927215755828</v>
      </c>
      <c r="T18" s="4">
        <v>670.06809900089013</v>
      </c>
      <c r="U18" s="4">
        <v>967.86825069234567</v>
      </c>
      <c r="V18" s="4">
        <v>1210.0171822381483</v>
      </c>
      <c r="W18" s="4">
        <v>187.54452061084592</v>
      </c>
      <c r="X18" s="4">
        <v>99.89014834453512</v>
      </c>
      <c r="Y18" s="4">
        <v>25.45767701920547</v>
      </c>
      <c r="Z18" s="4">
        <v>86.722700062872818</v>
      </c>
      <c r="AA18" s="4">
        <v>11.130384873264978</v>
      </c>
      <c r="AB18" s="4">
        <v>1.4340206224140001E-6</v>
      </c>
    </row>
    <row r="19" spans="2:28" s="6" customFormat="1">
      <c r="B19" s="6" t="s">
        <v>15</v>
      </c>
      <c r="C19" s="5">
        <f>SUM(C10:C18)</f>
        <v>9701.1404103999994</v>
      </c>
      <c r="D19" s="5">
        <f t="shared" ref="D19:AB19" si="0">SUM(D10:D18)</f>
        <v>9793.3617888400004</v>
      </c>
      <c r="E19" s="5">
        <f t="shared" si="0"/>
        <v>10738.362702962399</v>
      </c>
      <c r="F19" s="5">
        <f t="shared" si="0"/>
        <v>10973.023409653801</v>
      </c>
      <c r="G19" s="5">
        <f t="shared" si="0"/>
        <v>9064.4618101192445</v>
      </c>
      <c r="H19" s="5">
        <f t="shared" si="0"/>
        <v>10182.26735506789</v>
      </c>
      <c r="I19" s="5">
        <f t="shared" si="0"/>
        <v>11082.720930309715</v>
      </c>
      <c r="J19" s="5">
        <f t="shared" si="0"/>
        <v>11515.475689570127</v>
      </c>
      <c r="K19" s="5">
        <f t="shared" si="0"/>
        <v>11887.752901063173</v>
      </c>
      <c r="L19" s="5">
        <f t="shared" si="0"/>
        <v>11640.371234020768</v>
      </c>
      <c r="M19" s="5">
        <f t="shared" si="0"/>
        <v>12462.552200100552</v>
      </c>
      <c r="N19" s="5">
        <f t="shared" si="0"/>
        <v>12975.090568872376</v>
      </c>
      <c r="O19" s="5">
        <f t="shared" si="0"/>
        <v>13869.056148240403</v>
      </c>
      <c r="P19" s="5">
        <f t="shared" si="0"/>
        <v>14372.764168390582</v>
      </c>
      <c r="Q19" s="5">
        <f t="shared" si="0"/>
        <v>14026.481067513725</v>
      </c>
      <c r="R19" s="5">
        <f t="shared" si="0"/>
        <v>14757.248972673637</v>
      </c>
      <c r="S19" s="5">
        <f t="shared" si="0"/>
        <v>15486.920182385273</v>
      </c>
      <c r="T19" s="5">
        <f t="shared" si="0"/>
        <v>15844.522951951913</v>
      </c>
      <c r="U19" s="5">
        <f t="shared" si="0"/>
        <v>16275.805056968746</v>
      </c>
      <c r="V19" s="5">
        <f t="shared" si="0"/>
        <v>18105.273757445164</v>
      </c>
      <c r="W19" s="5">
        <f t="shared" si="0"/>
        <v>18448.664086737215</v>
      </c>
      <c r="X19" s="5">
        <f t="shared" si="0"/>
        <v>20255.729380733286</v>
      </c>
      <c r="Y19" s="5">
        <f t="shared" si="0"/>
        <v>21014.336926426859</v>
      </c>
      <c r="Z19" s="5">
        <f t="shared" si="0"/>
        <v>22653.143062831481</v>
      </c>
      <c r="AA19" s="5">
        <f t="shared" si="0"/>
        <v>24042.379921321852</v>
      </c>
      <c r="AB19" s="5">
        <f t="shared" si="0"/>
        <v>24802.211474072279</v>
      </c>
    </row>
    <row r="21" spans="2:28">
      <c r="B21" s="10" t="s">
        <v>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8">
      <c r="B22" s="3" t="s">
        <v>17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8">
      <c r="B23" s="3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5" spans="2:28">
      <c r="B25" s="1" t="s">
        <v>19</v>
      </c>
    </row>
    <row r="26" spans="2:28">
      <c r="B26" s="8" t="s">
        <v>5</v>
      </c>
      <c r="C26" s="2">
        <v>2000</v>
      </c>
      <c r="D26" s="2">
        <v>2001</v>
      </c>
      <c r="E26" s="2">
        <v>2002</v>
      </c>
      <c r="F26" s="2">
        <v>2003</v>
      </c>
      <c r="G26" s="2">
        <v>2004</v>
      </c>
      <c r="H26" s="2">
        <v>2005</v>
      </c>
      <c r="I26" s="2">
        <v>2006</v>
      </c>
      <c r="J26" s="2">
        <v>2007</v>
      </c>
      <c r="K26" s="2">
        <v>2008</v>
      </c>
      <c r="L26" s="2">
        <v>2009</v>
      </c>
      <c r="M26" s="2">
        <v>2010</v>
      </c>
      <c r="N26" s="2">
        <v>2011</v>
      </c>
      <c r="O26" s="2">
        <v>2012</v>
      </c>
      <c r="P26" s="2">
        <v>2013</v>
      </c>
      <c r="Q26" s="2">
        <v>2014</v>
      </c>
      <c r="R26" s="2">
        <v>2015</v>
      </c>
      <c r="S26" s="2">
        <v>2016</v>
      </c>
      <c r="T26" s="2">
        <v>2017</v>
      </c>
      <c r="U26" s="2">
        <v>2018</v>
      </c>
      <c r="V26" s="2">
        <v>2019</v>
      </c>
      <c r="W26" s="2">
        <v>2020</v>
      </c>
      <c r="X26" s="2">
        <v>2021</v>
      </c>
      <c r="Y26" s="2">
        <v>2022</v>
      </c>
      <c r="Z26" s="2">
        <v>2023</v>
      </c>
      <c r="AA26" s="2">
        <v>2024</v>
      </c>
      <c r="AB26" s="2">
        <v>2025</v>
      </c>
    </row>
    <row r="27" spans="2:28">
      <c r="B27" t="s">
        <v>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23.670246369069954</v>
      </c>
      <c r="T27" s="4">
        <v>47.693232409908461</v>
      </c>
      <c r="U27" s="4">
        <v>82.481589760082443</v>
      </c>
      <c r="V27" s="4">
        <v>161.49418112160842</v>
      </c>
      <c r="W27" s="4">
        <v>307.3355884562601</v>
      </c>
      <c r="X27" s="4">
        <v>489.37475675967437</v>
      </c>
      <c r="Y27" s="4">
        <v>742.9994649021337</v>
      </c>
      <c r="Z27" s="4">
        <v>1103.1165411453785</v>
      </c>
      <c r="AA27" s="4">
        <v>1490.5264980181785</v>
      </c>
      <c r="AB27" s="4">
        <v>2373.0070688268188</v>
      </c>
    </row>
    <row r="28" spans="2:28">
      <c r="B28" t="s">
        <v>7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13.992586525405198</v>
      </c>
      <c r="O28" s="4">
        <v>95.817791584869212</v>
      </c>
      <c r="P28" s="4">
        <v>243.04753496939131</v>
      </c>
      <c r="Q28" s="4">
        <v>243.19845619063275</v>
      </c>
      <c r="R28" s="4">
        <v>290.04122423856097</v>
      </c>
      <c r="S28" s="4">
        <v>322.81002551366566</v>
      </c>
      <c r="T28" s="4">
        <v>390.40429307037726</v>
      </c>
      <c r="U28" s="4">
        <v>497.48038137608319</v>
      </c>
      <c r="V28" s="4">
        <v>812.77567848639183</v>
      </c>
      <c r="W28" s="4">
        <v>1168.9470906385554</v>
      </c>
      <c r="X28" s="4">
        <v>1238.9618128860513</v>
      </c>
      <c r="Y28" s="4">
        <v>1215.1387145737569</v>
      </c>
      <c r="Z28" s="4">
        <v>1156.9012410650878</v>
      </c>
      <c r="AA28" s="4">
        <v>1087.00859106505</v>
      </c>
      <c r="AB28" s="4">
        <v>1221.6566429457648</v>
      </c>
    </row>
    <row r="29" spans="2:28">
      <c r="B29" t="s">
        <v>8</v>
      </c>
      <c r="C29" s="4">
        <v>933.64892199999997</v>
      </c>
      <c r="D29" s="4">
        <v>738.12446779999993</v>
      </c>
      <c r="E29" s="4">
        <v>972.82249827329815</v>
      </c>
      <c r="F29" s="4">
        <v>1373.6911270612559</v>
      </c>
      <c r="G29" s="4">
        <v>1581.5811077673527</v>
      </c>
      <c r="H29" s="4">
        <v>1896.4110378946227</v>
      </c>
      <c r="I29" s="4">
        <v>1764.2749920454626</v>
      </c>
      <c r="J29" s="4">
        <v>1680.1119839203757</v>
      </c>
      <c r="K29" s="4">
        <v>1382.4645581055888</v>
      </c>
      <c r="L29" s="4">
        <v>1453.1367427512271</v>
      </c>
      <c r="M29" s="4">
        <v>1416.0844393037107</v>
      </c>
      <c r="N29" s="4">
        <v>1513.3775811150565</v>
      </c>
      <c r="O29" s="4">
        <v>1782.8908885115018</v>
      </c>
      <c r="P29" s="4">
        <v>1871.7793182964192</v>
      </c>
      <c r="Q29" s="4">
        <v>1266.8623575157803</v>
      </c>
      <c r="R29" s="4">
        <v>939.97822848465569</v>
      </c>
      <c r="S29" s="4">
        <v>1513.038889152403</v>
      </c>
      <c r="T29" s="4">
        <v>2190.0842062554557</v>
      </c>
      <c r="U29" s="4">
        <v>1772.824755381441</v>
      </c>
      <c r="V29" s="4">
        <v>1031.3097065189004</v>
      </c>
      <c r="W29" s="4">
        <v>1252.2045444469297</v>
      </c>
      <c r="X29" s="4">
        <v>1479.7810442286002</v>
      </c>
      <c r="Y29" s="4">
        <v>1442.0246918975149</v>
      </c>
      <c r="Z29" s="4">
        <v>1143.1712941326975</v>
      </c>
      <c r="AA29" s="4">
        <v>1431.2358163018826</v>
      </c>
      <c r="AB29" s="4">
        <v>1455.1101600207569</v>
      </c>
    </row>
    <row r="30" spans="2:28">
      <c r="B30" t="s">
        <v>9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79.864008450239581</v>
      </c>
      <c r="U30" s="4">
        <v>160.64255298789072</v>
      </c>
      <c r="V30" s="4">
        <v>153.10868794475394</v>
      </c>
      <c r="W30" s="4">
        <v>130.5169450854321</v>
      </c>
      <c r="X30" s="4">
        <v>174.95820609983878</v>
      </c>
      <c r="Y30" s="4">
        <v>165.06745470535535</v>
      </c>
      <c r="Z30" s="4">
        <v>178.42928058253003</v>
      </c>
      <c r="AA30" s="4">
        <v>159.65889582071802</v>
      </c>
      <c r="AB30" s="9">
        <v>163.06076352813284</v>
      </c>
    </row>
    <row r="31" spans="2:28">
      <c r="B31" t="s">
        <v>10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16.066232840430818</v>
      </c>
      <c r="V31" s="4">
        <v>33.047933791361181</v>
      </c>
      <c r="W31" s="4">
        <v>12.685217699104687</v>
      </c>
      <c r="X31" s="4">
        <v>12.782380915801216</v>
      </c>
      <c r="Y31" s="4">
        <v>34.841720707515137</v>
      </c>
      <c r="Z31" s="4">
        <v>30.223089407094498</v>
      </c>
      <c r="AA31" s="4">
        <v>56.346450647719927</v>
      </c>
      <c r="AB31" s="9">
        <v>38.808154965462059</v>
      </c>
    </row>
    <row r="32" spans="2:28">
      <c r="B32" t="s">
        <v>11</v>
      </c>
      <c r="C32" s="4">
        <v>0</v>
      </c>
      <c r="D32" s="4">
        <v>0</v>
      </c>
      <c r="E32" s="4">
        <v>0</v>
      </c>
      <c r="F32" s="4">
        <v>676.69385377084154</v>
      </c>
      <c r="G32" s="4">
        <v>738.60534758231324</v>
      </c>
      <c r="H32" s="4">
        <v>1113.0256795821076</v>
      </c>
      <c r="I32" s="4">
        <v>1732.3837541205289</v>
      </c>
      <c r="J32" s="4">
        <v>2332.3533589422973</v>
      </c>
      <c r="K32" s="4">
        <v>2453.60991654606</v>
      </c>
      <c r="L32" s="4">
        <v>2258.8597743421883</v>
      </c>
      <c r="M32" s="4">
        <v>3372.6089601626945</v>
      </c>
      <c r="N32" s="4">
        <v>3452.8234057079526</v>
      </c>
      <c r="O32" s="4">
        <v>3523.6266383788061</v>
      </c>
      <c r="P32" s="4">
        <v>4409.1232967809592</v>
      </c>
      <c r="Q32" s="4">
        <v>4232.4040301821906</v>
      </c>
      <c r="R32" s="4">
        <v>4224.8374771004701</v>
      </c>
      <c r="S32" s="4">
        <v>3770.7253910756344</v>
      </c>
      <c r="T32" s="4">
        <v>5434.4344822155372</v>
      </c>
      <c r="U32" s="4">
        <v>5261.0424174234822</v>
      </c>
      <c r="V32" s="4">
        <v>5587.0847320990542</v>
      </c>
      <c r="W32" s="4">
        <v>6506.3763498429444</v>
      </c>
      <c r="X32" s="4">
        <v>8484.1961840771437</v>
      </c>
      <c r="Y32" s="4">
        <v>8378.4070709217012</v>
      </c>
      <c r="Z32" s="4">
        <v>9213.6459520540193</v>
      </c>
      <c r="AA32" s="4">
        <v>10352.467317260503</v>
      </c>
      <c r="AB32" s="4">
        <v>8934.3233446302511</v>
      </c>
    </row>
    <row r="33" spans="2:28">
      <c r="B33" t="s">
        <v>12</v>
      </c>
      <c r="C33" s="4">
        <v>0</v>
      </c>
      <c r="D33" s="4">
        <v>144.971136</v>
      </c>
      <c r="E33" s="4">
        <v>591.68541802957145</v>
      </c>
      <c r="F33" s="4">
        <v>1348.8929009606836</v>
      </c>
      <c r="G33" s="4">
        <v>1321.6210667718733</v>
      </c>
      <c r="H33" s="4">
        <v>1425.7990788532177</v>
      </c>
      <c r="I33" s="4">
        <v>1956.1470587236822</v>
      </c>
      <c r="J33" s="4">
        <v>2070.2030745380944</v>
      </c>
      <c r="K33" s="4">
        <v>2042.6505221622019</v>
      </c>
      <c r="L33" s="4">
        <v>1933.48908584168</v>
      </c>
      <c r="M33" s="4">
        <v>1853.0210493966197</v>
      </c>
      <c r="N33" s="4">
        <v>1999.9896019323605</v>
      </c>
      <c r="O33" s="4">
        <v>2124.0773872455975</v>
      </c>
      <c r="P33" s="4">
        <v>2214.6173269625501</v>
      </c>
      <c r="Q33" s="4">
        <v>2424.8540851421972</v>
      </c>
      <c r="R33" s="4">
        <v>2312.9246729855968</v>
      </c>
      <c r="S33" s="4">
        <v>2359.2653672520028</v>
      </c>
      <c r="T33" s="4">
        <v>2407.1323646941305</v>
      </c>
      <c r="U33" s="4">
        <v>2288.2770204426147</v>
      </c>
      <c r="V33" s="4">
        <v>3987.4349752200028</v>
      </c>
      <c r="W33" s="4">
        <v>7108.9780727793514</v>
      </c>
      <c r="X33" s="4">
        <v>6521.4950078141437</v>
      </c>
      <c r="Y33" s="4">
        <v>6673.6416380837763</v>
      </c>
      <c r="Z33" s="4">
        <v>7309.9611798828046</v>
      </c>
      <c r="AA33" s="4">
        <v>7401.9457847701842</v>
      </c>
      <c r="AB33" s="4">
        <v>7386.0713967386855</v>
      </c>
    </row>
    <row r="34" spans="2:28">
      <c r="B34" t="s">
        <v>13</v>
      </c>
      <c r="C34" s="4">
        <v>4170.9909016430411</v>
      </c>
      <c r="D34" s="4">
        <v>6204.059662801048</v>
      </c>
      <c r="E34" s="4">
        <v>6521.4530674279631</v>
      </c>
      <c r="F34" s="4">
        <v>5816.2749884613249</v>
      </c>
      <c r="G34" s="4">
        <v>3831.7380346512473</v>
      </c>
      <c r="H34" s="4">
        <v>4653.3513958388612</v>
      </c>
      <c r="I34" s="4">
        <v>4734.4996255947535</v>
      </c>
      <c r="J34" s="4">
        <v>4758.4026164076895</v>
      </c>
      <c r="K34" s="4">
        <v>4877.0941713293769</v>
      </c>
      <c r="L34" s="4">
        <v>5067.9748942058868</v>
      </c>
      <c r="M34" s="4">
        <v>5202.3856413780768</v>
      </c>
      <c r="N34" s="4">
        <v>4822.7058204817904</v>
      </c>
      <c r="O34" s="4">
        <v>5343.8308060235349</v>
      </c>
      <c r="P34" s="4">
        <v>5190.9680073781556</v>
      </c>
      <c r="Q34" s="4">
        <v>6444.0830287025328</v>
      </c>
      <c r="R34" s="4">
        <v>6687.802418859761</v>
      </c>
      <c r="S34" s="4">
        <v>7144.5632330520657</v>
      </c>
      <c r="T34" s="4">
        <v>5643.6464140892285</v>
      </c>
      <c r="U34" s="4">
        <v>6277.7892369552992</v>
      </c>
      <c r="V34" s="4">
        <v>6147.6053552298326</v>
      </c>
      <c r="W34" s="4">
        <v>2776.7873626606915</v>
      </c>
      <c r="X34" s="4">
        <v>2775.9633772415755</v>
      </c>
      <c r="Y34" s="4">
        <v>3344.9835358057421</v>
      </c>
      <c r="Z34" s="4">
        <v>3520.5846488737625</v>
      </c>
      <c r="AA34" s="4">
        <v>3212.5208976257923</v>
      </c>
      <c r="AB34" s="4">
        <v>3230.1739409823863</v>
      </c>
    </row>
    <row r="35" spans="2:28">
      <c r="B35" t="s">
        <v>14</v>
      </c>
      <c r="C35" s="4">
        <v>4596.500586756958</v>
      </c>
      <c r="D35" s="4">
        <v>2706.2065222389515</v>
      </c>
      <c r="E35" s="4">
        <v>2652.4017192315659</v>
      </c>
      <c r="F35" s="4">
        <v>1757.470539399696</v>
      </c>
      <c r="G35" s="4">
        <v>1590.9162533464576</v>
      </c>
      <c r="H35" s="4">
        <v>1093.6801628990816</v>
      </c>
      <c r="I35" s="4">
        <v>895.41549982528886</v>
      </c>
      <c r="J35" s="4">
        <v>674.40465576166901</v>
      </c>
      <c r="K35" s="4">
        <v>1131.9337329199448</v>
      </c>
      <c r="L35" s="4">
        <v>926.91073687978439</v>
      </c>
      <c r="M35" s="4">
        <v>618.45210985945096</v>
      </c>
      <c r="N35" s="4">
        <v>1172.2015731098109</v>
      </c>
      <c r="O35" s="4">
        <v>998.81263649609298</v>
      </c>
      <c r="P35" s="4">
        <v>712.75155834461623</v>
      </c>
      <c r="Q35" s="4">
        <v>332.38157394152836</v>
      </c>
      <c r="R35" s="4">
        <v>1185.3128667324238</v>
      </c>
      <c r="S35" s="4">
        <v>1335.2927215755828</v>
      </c>
      <c r="T35" s="4">
        <v>670.06809900089013</v>
      </c>
      <c r="U35" s="4">
        <v>967.86825069234567</v>
      </c>
      <c r="V35" s="4">
        <v>1210.0171822381483</v>
      </c>
      <c r="W35" s="4">
        <v>187.54452061084592</v>
      </c>
      <c r="X35" s="4">
        <v>99.890134970980995</v>
      </c>
      <c r="Y35" s="4">
        <v>25.457677019205473</v>
      </c>
      <c r="Z35" s="4">
        <v>86.722700062872818</v>
      </c>
      <c r="AA35" s="4">
        <v>11.130384873264978</v>
      </c>
      <c r="AB35" s="4">
        <v>1.4340206224140001E-6</v>
      </c>
    </row>
    <row r="36" spans="2:28" s="6" customFormat="1">
      <c r="B36" s="6" t="s">
        <v>15</v>
      </c>
      <c r="C36" s="5">
        <f>SUM(C27:C35)</f>
        <v>9701.1404103999994</v>
      </c>
      <c r="D36" s="5">
        <f t="shared" ref="D36:AB36" si="1">SUM(D27:D35)</f>
        <v>9793.3617888400004</v>
      </c>
      <c r="E36" s="5">
        <f t="shared" si="1"/>
        <v>10738.362702962399</v>
      </c>
      <c r="F36" s="5">
        <f t="shared" si="1"/>
        <v>10973.023409653801</v>
      </c>
      <c r="G36" s="5">
        <f t="shared" si="1"/>
        <v>9064.4618101192445</v>
      </c>
      <c r="H36" s="5">
        <f t="shared" si="1"/>
        <v>10182.26735506789</v>
      </c>
      <c r="I36" s="5">
        <f t="shared" si="1"/>
        <v>11082.720930309715</v>
      </c>
      <c r="J36" s="5">
        <f t="shared" si="1"/>
        <v>11515.475689570127</v>
      </c>
      <c r="K36" s="5">
        <f t="shared" si="1"/>
        <v>11887.752901063173</v>
      </c>
      <c r="L36" s="5">
        <f t="shared" si="1"/>
        <v>11640.371234020768</v>
      </c>
      <c r="M36" s="5">
        <f t="shared" si="1"/>
        <v>12462.552200100552</v>
      </c>
      <c r="N36" s="5">
        <f t="shared" si="1"/>
        <v>12975.090568872376</v>
      </c>
      <c r="O36" s="5">
        <f t="shared" si="1"/>
        <v>13869.056148240403</v>
      </c>
      <c r="P36" s="5">
        <f t="shared" si="1"/>
        <v>14642.28704273209</v>
      </c>
      <c r="Q36" s="5">
        <f t="shared" si="1"/>
        <v>14943.783531674861</v>
      </c>
      <c r="R36" s="5">
        <f t="shared" si="1"/>
        <v>15640.896888401468</v>
      </c>
      <c r="S36" s="5">
        <f t="shared" si="1"/>
        <v>16469.365873990424</v>
      </c>
      <c r="T36" s="5">
        <f t="shared" si="1"/>
        <v>16863.327100185768</v>
      </c>
      <c r="U36" s="5">
        <f t="shared" si="1"/>
        <v>17324.472437859669</v>
      </c>
      <c r="V36" s="5">
        <f t="shared" si="1"/>
        <v>19123.878432650057</v>
      </c>
      <c r="W36" s="5">
        <f t="shared" si="1"/>
        <v>19451.375692220114</v>
      </c>
      <c r="X36" s="5">
        <f t="shared" si="1"/>
        <v>21277.402904993811</v>
      </c>
      <c r="Y36" s="5">
        <f t="shared" si="1"/>
        <v>22022.561968616701</v>
      </c>
      <c r="Z36" s="5">
        <f t="shared" si="1"/>
        <v>23742.75592720625</v>
      </c>
      <c r="AA36" s="5">
        <f t="shared" si="1"/>
        <v>25202.840636383295</v>
      </c>
      <c r="AB36" s="5">
        <f t="shared" si="1"/>
        <v>24802.211474072279</v>
      </c>
    </row>
    <row r="38" spans="2:28">
      <c r="B38" s="10" t="s">
        <v>16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2:28">
      <c r="B39" s="3" t="s">
        <v>20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8">
      <c r="B40" s="3" t="s">
        <v>18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AA40" s="4"/>
      <c r="AB40" s="4"/>
    </row>
    <row r="41" spans="2:28">
      <c r="AA41" s="4"/>
      <c r="AB41" s="4"/>
    </row>
    <row r="42" spans="2:28">
      <c r="AA42" s="4"/>
      <c r="AB42" s="4"/>
    </row>
    <row r="43" spans="2:28">
      <c r="AA43" s="4"/>
      <c r="AB43" s="4"/>
    </row>
    <row r="44" spans="2:28">
      <c r="AA44" s="4"/>
      <c r="AB44" s="4"/>
    </row>
    <row r="45" spans="2:28">
      <c r="AA45" s="4"/>
      <c r="AB45" s="4"/>
    </row>
    <row r="46" spans="2:28">
      <c r="AA46" s="4"/>
      <c r="AB46" s="4"/>
    </row>
    <row r="47" spans="2:28">
      <c r="AA47" s="4"/>
      <c r="AB47" s="4"/>
    </row>
    <row r="49" spans="27:28">
      <c r="AA49" s="7"/>
      <c r="AB49" s="7"/>
    </row>
    <row r="50" spans="27:28">
      <c r="AA50" s="7"/>
      <c r="AB50" s="7"/>
    </row>
    <row r="51" spans="27:28">
      <c r="AA51" s="7"/>
      <c r="AB51" s="7"/>
    </row>
    <row r="52" spans="27:28">
      <c r="AA52" s="7"/>
      <c r="AB52" s="7"/>
    </row>
    <row r="53" spans="27:28">
      <c r="AA53" s="7"/>
      <c r="AB53" s="7"/>
    </row>
    <row r="54" spans="27:28">
      <c r="AA54" s="7"/>
      <c r="AB54" s="7"/>
    </row>
    <row r="55" spans="27:28">
      <c r="AA55" s="7"/>
      <c r="AB55" s="7"/>
    </row>
  </sheetData>
  <mergeCells count="6">
    <mergeCell ref="B21:X21"/>
    <mergeCell ref="B38:X38"/>
    <mergeCell ref="B2:O2"/>
    <mergeCell ref="B3:O3"/>
    <mergeCell ref="B4:O4"/>
    <mergeCell ref="B5:O5"/>
  </mergeCells>
  <pageMargins left="0.7" right="0.7" top="0.75" bottom="0.75" header="0.3" footer="0.3"/>
  <ignoredErrors>
    <ignoredError sqref="C36:AB36 C19:AB1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Alberto Torres Mendez</dc:creator>
  <cp:keywords/>
  <dc:description/>
  <cp:lastModifiedBy>Angela Gonzalez</cp:lastModifiedBy>
  <cp:revision/>
  <dcterms:created xsi:type="dcterms:W3CDTF">2025-02-19T19:05:32Z</dcterms:created>
  <dcterms:modified xsi:type="dcterms:W3CDTF">2026-08-24T15:14:35Z</dcterms:modified>
  <cp:category/>
  <cp:contentStatus/>
</cp:coreProperties>
</file>