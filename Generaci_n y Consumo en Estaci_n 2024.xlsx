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e2016-my.sharepoint.com/personal/agonzalez_cne_gob_do/Documents/Escritorio/Repositorio/"/>
    </mc:Choice>
  </mc:AlternateContent>
  <xr:revisionPtr revIDLastSave="0" documentId="8_{1A431FB4-A1D4-48C7-A76A-5A4B1D9251FA}" xr6:coauthVersionLast="47" xr6:coauthVersionMax="47" xr10:uidLastSave="{00000000-0000-0000-0000-000000000000}"/>
  <bookViews>
    <workbookView xWindow="-108" yWindow="-108" windowWidth="23256" windowHeight="12456" firstSheet="1" activeTab="1" xr2:uid="{75007030-393A-476A-BD0E-84099D775537}"/>
  </bookViews>
  <sheets>
    <sheet name="Generación Bruta" sheetId="1" r:id="rId1"/>
    <sheet name="Consumos Propio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9" i="2" l="1"/>
  <c r="I96" i="2" s="1"/>
  <c r="H89" i="2"/>
  <c r="H96" i="2" s="1"/>
  <c r="M89" i="2"/>
  <c r="M96" i="2" s="1"/>
  <c r="L89" i="2"/>
  <c r="L96" i="2" s="1"/>
  <c r="K89" i="2"/>
  <c r="K96" i="2" s="1"/>
  <c r="N89" i="2"/>
  <c r="N96" i="2" s="1"/>
  <c r="C89" i="2"/>
  <c r="C96" i="2" s="1"/>
  <c r="F89" i="2"/>
  <c r="F96" i="2" s="1"/>
  <c r="E89" i="2"/>
  <c r="E96" i="2" s="1"/>
  <c r="D89" i="2"/>
  <c r="D96" i="2" s="1"/>
  <c r="L89" i="1"/>
  <c r="L94" i="1" s="1"/>
  <c r="K89" i="1"/>
  <c r="K94" i="1" s="1"/>
  <c r="J89" i="1"/>
  <c r="J94" i="1" s="1"/>
  <c r="I89" i="1"/>
  <c r="I94" i="1" s="1"/>
  <c r="N89" i="1"/>
  <c r="N94" i="1" s="1"/>
  <c r="M89" i="1"/>
  <c r="M94" i="1" s="1"/>
  <c r="G89" i="1"/>
  <c r="G94" i="1" s="1"/>
  <c r="F89" i="1"/>
  <c r="F94" i="1" s="1"/>
  <c r="E89" i="1"/>
  <c r="E94" i="1" s="1"/>
  <c r="D89" i="1"/>
  <c r="D94" i="1" s="1"/>
  <c r="G89" i="2" l="1"/>
  <c r="G96" i="2" s="1"/>
  <c r="J89" i="2"/>
  <c r="J96" i="2" s="1"/>
  <c r="O89" i="1"/>
  <c r="C89" i="1"/>
  <c r="C94" i="1" s="1"/>
  <c r="H89" i="1"/>
  <c r="H94" i="1" s="1"/>
  <c r="O89" i="2" l="1"/>
  <c r="O96" i="2" s="1"/>
  <c r="O94" i="1"/>
</calcChain>
</file>

<file path=xl/sharedStrings.xml><?xml version="1.0" encoding="utf-8"?>
<sst xmlns="http://schemas.openxmlformats.org/spreadsheetml/2006/main" count="207" uniqueCount="109">
  <si>
    <t>Comisión Nacional de Energía</t>
  </si>
  <si>
    <t>Sistema de Información Energética Nacional</t>
  </si>
  <si>
    <t>Generación bruta de energía eléctrica según central y Mes, 2024</t>
  </si>
  <si>
    <t>(en kWh)</t>
  </si>
  <si>
    <t>Central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</si>
  <si>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</si>
  <si>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</si>
  <si>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</si>
  <si>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</si>
  <si>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</si>
  <si>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</si>
  <si>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</si>
  <si>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</si>
  <si>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</si>
  <si>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</si>
  <si>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</si>
  <si>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</si>
  <si>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</si>
  <si>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AES Andrés</t>
  </si>
  <si>
    <t>Aguacate</t>
  </si>
  <si>
    <t>Aniana Vargas</t>
  </si>
  <si>
    <t>Baiguaque</t>
  </si>
  <si>
    <t>Barahona Carbón</t>
  </si>
  <si>
    <t>Bersal</t>
  </si>
  <si>
    <t>Brazo Derecho</t>
  </si>
  <si>
    <t>Calabaza</t>
  </si>
  <si>
    <t>Central Termoeléctrica Punta Catalina</t>
  </si>
  <si>
    <t>CEPP</t>
  </si>
  <si>
    <t>CESPM</t>
  </si>
  <si>
    <t>Cumayasa I</t>
  </si>
  <si>
    <t>Cumayasa II</t>
  </si>
  <si>
    <t>Domingo Rodríguez</t>
  </si>
  <si>
    <t>El Salto</t>
  </si>
  <si>
    <t>Estrella de Mar 2</t>
  </si>
  <si>
    <t>Estrella de Mar 3</t>
  </si>
  <si>
    <t>Haina TG</t>
  </si>
  <si>
    <t>Hatillo</t>
  </si>
  <si>
    <t>INCA KM 22</t>
  </si>
  <si>
    <t>Itabo</t>
  </si>
  <si>
    <t>Jigüey</t>
  </si>
  <si>
    <t>Jimenoa</t>
  </si>
  <si>
    <t>La Vega</t>
  </si>
  <si>
    <t>Las Barias</t>
  </si>
  <si>
    <t>Las Damas</t>
  </si>
  <si>
    <t>López Angostura</t>
  </si>
  <si>
    <t>Los Anones</t>
  </si>
  <si>
    <t>Los Orígenes</t>
  </si>
  <si>
    <t>Los Toros</t>
  </si>
  <si>
    <t>Magueyal</t>
  </si>
  <si>
    <t>Maranatha</t>
  </si>
  <si>
    <t>Matrisol</t>
  </si>
  <si>
    <t>Metaldom</t>
  </si>
  <si>
    <t>Monción</t>
  </si>
  <si>
    <t>Monte Plata Solar</t>
  </si>
  <si>
    <t>Monte Río</t>
  </si>
  <si>
    <t>Montecristi Solar</t>
  </si>
  <si>
    <t>Nizao-Najayo</t>
  </si>
  <si>
    <t>Palamara</t>
  </si>
  <si>
    <t>Palenque BT</t>
  </si>
  <si>
    <t>Palomino</t>
  </si>
  <si>
    <t>Parque Energético Los Mina</t>
  </si>
  <si>
    <t>Parque Eólico Agua Clara</t>
  </si>
  <si>
    <t>Parque Eólico Guanillo</t>
  </si>
  <si>
    <t>Parque Eólico Larimar I</t>
  </si>
  <si>
    <t>Parque Eólico Larimar II</t>
  </si>
  <si>
    <t>Parque Eólico Los Cocos</t>
  </si>
  <si>
    <t>Parque Eólico Los Guzmancitos</t>
  </si>
  <si>
    <t>Parque Eólico Los Guzmancitos II</t>
  </si>
  <si>
    <t>Parque Eólico Matafongo</t>
  </si>
  <si>
    <t>Parque Fotovoltaico Bayasol</t>
  </si>
  <si>
    <t>Parque Fotovoltaico Esperanza</t>
  </si>
  <si>
    <t>Parque Fotovoltaico La Victoria</t>
  </si>
  <si>
    <t>Parque Fotovoltaico Los Negros</t>
  </si>
  <si>
    <t>Parque Fotovoltaico Mata de Palma</t>
  </si>
  <si>
    <t>Parque Fotovoltaico Mirasol</t>
  </si>
  <si>
    <t>Parque Fotovoltaico Sajoma</t>
  </si>
  <si>
    <t>Parque Solar Canoa</t>
  </si>
  <si>
    <t>Parque Solar el Soco</t>
  </si>
  <si>
    <t>Parque Solar Girasol</t>
  </si>
  <si>
    <t>Parque Solar Santanasol</t>
  </si>
  <si>
    <t>Pimentel</t>
  </si>
  <si>
    <t>Pinalito</t>
  </si>
  <si>
    <t>Powership</t>
  </si>
  <si>
    <t>Quisqueya 1</t>
  </si>
  <si>
    <t>Quisqueya 2</t>
  </si>
  <si>
    <t>Rincón</t>
  </si>
  <si>
    <t>Río Blanco</t>
  </si>
  <si>
    <t>Río San Juan</t>
  </si>
  <si>
    <t>Rosa Julia de la Cruz (Boba)</t>
  </si>
  <si>
    <t>Sábana Yegua</t>
  </si>
  <si>
    <t>Sabaneta</t>
  </si>
  <si>
    <t>San Felipe</t>
  </si>
  <si>
    <t>San Lorenzo 1</t>
  </si>
  <si>
    <t>San Pedro BioEnergy</t>
  </si>
  <si>
    <t>San Pedro Vapor</t>
  </si>
  <si>
    <t>SIBA</t>
  </si>
  <si>
    <t>Sultana del Este</t>
  </si>
  <si>
    <t>Tavera</t>
  </si>
  <si>
    <t>Valdesia</t>
  </si>
  <si>
    <t xml:space="preserve">Total </t>
  </si>
  <si>
    <r>
      <rPr>
        <b/>
        <sz val="8"/>
        <rFont val="Century Gothic"/>
        <family val="2"/>
      </rPr>
      <t>Fuente:</t>
    </r>
    <r>
      <rPr>
        <sz val="8"/>
        <rFont val="Century Gothic"/>
        <family val="2"/>
      </rPr>
      <t xml:space="preserve"> Elaboración propia en base a datos suministrados por el Organismo Coordinador del Sistema Eléctrico Nacional Interconectado, 2024.</t>
    </r>
  </si>
  <si>
    <r>
      <rPr>
        <b/>
        <sz val="8"/>
        <rFont val="Century Gothic"/>
        <family val="2"/>
      </rPr>
      <t>Nota</t>
    </r>
    <r>
      <rPr>
        <sz val="8"/>
        <rFont val="Century Gothic"/>
        <family val="2"/>
      </rPr>
      <t>:     El dato de Sultana del Este, Quisqueya 1 y San Pedro BioEnergy representa el excedente inyectado al sistema (SENI) en lugar de la generación total de la central.</t>
    </r>
  </si>
  <si>
    <t>Verificacion</t>
  </si>
  <si>
    <t>Consumos propios de energía eléctrica según central y Mes, 2024</t>
  </si>
  <si>
    <t xml:space="preserve">Los Toros </t>
  </si>
  <si>
    <t xml:space="preserve">Parque Fotovoltaico Esperanza </t>
  </si>
  <si>
    <t xml:space="preserve">Valdesia </t>
  </si>
  <si>
    <r>
      <rPr>
        <b/>
        <sz val="8"/>
        <rFont val="Century Gothic"/>
        <family val="2"/>
      </rPr>
      <t>Nota¹</t>
    </r>
    <r>
      <rPr>
        <sz val="8"/>
        <rFont val="Century Gothic"/>
        <family val="2"/>
      </rPr>
      <t>:     Los datos de consumo de estación corresponden la cantidad de energía utilizada en las instalaciones de las plantas eléctricas.</t>
    </r>
  </si>
  <si>
    <r>
      <rPr>
        <b/>
        <sz val="8"/>
        <rFont val="Century Gothic"/>
        <family val="2"/>
      </rPr>
      <t>Nota</t>
    </r>
    <r>
      <rPr>
        <b/>
        <sz val="8"/>
        <rFont val="Calibri"/>
        <family val="2"/>
      </rPr>
      <t>²</t>
    </r>
    <r>
      <rPr>
        <sz val="8"/>
        <rFont val="Century Gothic"/>
        <family val="2"/>
      </rPr>
      <t>:     El dato de Sultana del Este, Quisqueya 1 y San Pedro BioEnergy representa el excedente inyectado al sistema (SENI) en lugar de la generación total de la central.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</si>
</sst>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  <font>
      <b/>
      <sz val="8"/>
      <color theme="0"/>
      <name val="Century Gothic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hidden="1"/>
    </xf>
    <xf numFmtId="3" fontId="4" fillId="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right" vertical="center"/>
    </xf>
    <xf numFmtId="164" fontId="3" fillId="0" borderId="0" xfId="1" applyFont="1" applyAlignment="1">
      <alignment horizontal="right" vertical="center" indent="1"/>
    </xf>
    <xf numFmtId="164" fontId="3" fillId="0" borderId="0" xfId="1" applyFont="1" applyFill="1" applyAlignment="1">
      <alignment horizontal="right" vertical="center"/>
    </xf>
    <xf numFmtId="164" fontId="3" fillId="0" borderId="0" xfId="1" applyFont="1" applyFill="1" applyAlignment="1">
      <alignment vertical="center"/>
    </xf>
    <xf numFmtId="164" fontId="4" fillId="3" borderId="0" xfId="1" applyFont="1" applyFill="1" applyAlignment="1">
      <alignment vertical="center"/>
    </xf>
    <xf numFmtId="4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286840</xdr:colOff>
      <xdr:row>1</xdr:row>
      <xdr:rowOff>33618</xdr:rowOff>
    </xdr:from>
    <xdr:to>
      <xdr:col>1</xdr:col>
      <xdr:colOff>2116288</xdr:colOff>
      <xdr:row>6</xdr:row>
      <xdr:rowOff>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D36C28-08DE-46C6-B95A-8F5A9DB41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440" y="170778"/>
          <a:ext cx="1829448" cy="655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87924</xdr:colOff>
      <xdr:row>1</xdr:row>
      <xdr:rowOff>0</xdr:rowOff>
    </xdr:from>
    <xdr:to>
      <xdr:col>1</xdr:col>
      <xdr:colOff>1963909</xdr:colOff>
      <xdr:row>6</xdr:row>
      <xdr:rowOff>3661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67551-C0FC-40D3-8E34-8F5C489E8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784" y="137160"/>
          <a:ext cx="1875985" cy="6894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K:\Sistema%20de%20Informaci&#243;n%20Energ&#233;tico%20Nacional\04.%20Archivo%20Data\02.%20Estad&#237;stico\01.%20El&#233;ctrica\01.%20SENI%20-%20Mercado%20El&#233;ctrico%20Mayorista\06.%20Generaci&#243;n\(OC)%20Generaci&#243;n%20y%20Consumo%20Propios\Generaci&#243;n%20y%20Consumo%20Propios%202024.xlsx" TargetMode="External"/><Relationship Id="rId2" Type="http://schemas.microsoft.com/office/2019/04/relationships/externalLinkLongPath" Target="file:///K:\Sistema%20de%20Informaci&#243;n%20Energ&#233;tico%20Nacional\04.%20Archivo%20Data\02.%20Estad&#237;stico\01.%20El&#233;ctrica\01.%20SENI%20-%20Mercado%20El&#233;ctrico%20Mayorista\06.%20Generaci&#243;n\(OC)%20Generaci&#243;n%20y%20Consumo%20Propios\Generaci&#243;n%20y%20Consumo%20Propios%202024.xlsx?3F3118D3" TargetMode="External"/><Relationship Id="rId1" Type="http://schemas.openxmlformats.org/officeDocument/2006/relationships/externalLinkPath" Target="file:///\\3F3118D3\Generaci&#243;n%20y%20Consumo%20Propio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foBD"/>
      <sheetName val="Info geográfica"/>
      <sheetName val="BD - Inyecciones Brutas"/>
      <sheetName val="BD - % Consumo Propio"/>
      <sheetName val="Generación Bruta BD x Fuentes"/>
      <sheetName val="Generación Bruta BD xFuentes"/>
      <sheetName val="Generación Neta BD AT"/>
      <sheetName val="Calc. - Consumo Propio"/>
      <sheetName val="BD - Inyecciones netas BT"/>
      <sheetName val="BD - Pérdidas"/>
      <sheetName val="Solicitud BC - Generación Bruta"/>
      <sheetName val="Solicitud BC - Consumos Propio"/>
      <sheetName val="Generación Neta"/>
      <sheetName val="Generación y Consumo Propios 20"/>
    </sheetNames>
    <sheetDataSet>
      <sheetData sheetId="0"/>
      <sheetData sheetId="1"/>
      <sheetData sheetId="2">
        <row r="120">
          <cell r="K120">
            <v>1804153934.9930484</v>
          </cell>
          <cell r="L120">
            <v>1648609212.1627328</v>
          </cell>
          <cell r="M120">
            <v>1882451232.2280154</v>
          </cell>
          <cell r="N120">
            <v>1874317572.6304178</v>
          </cell>
          <cell r="O120">
            <v>2058981889.8850126</v>
          </cell>
          <cell r="P120">
            <v>2117260135.9551215</v>
          </cell>
          <cell r="Q120">
            <v>2175582464.9322624</v>
          </cell>
          <cell r="R120">
            <v>2269654116.1641097</v>
          </cell>
          <cell r="S120">
            <v>2177096389.2476411</v>
          </cell>
          <cell r="T120">
            <v>2270668980.5568838</v>
          </cell>
          <cell r="U120">
            <v>1853272289.6736948</v>
          </cell>
          <cell r="V120">
            <v>1888481783.103411</v>
          </cell>
          <cell r="W120">
            <v>24020530001.532364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F07-5190-4DE0-A401-4BD92C58BD5F}">
  <sheetPr>
    <tabColor theme="6" tint="0.59999389629810485"/>
  </sheetPr>
  <dimension ref="A2:P188"/>
  <sheetViews>
    <sheetView showGridLines="0" zoomScale="70" zoomScaleNormal="70" workbookViewId="0">
      <selection activeCell="P89" sqref="P89"/>
    </sheetView>
  </sheetViews>
  <sheetFormatPr defaultColWidth="20" defaultRowHeight="10.9"/>
  <cols>
    <col min="1" max="1" width="20" style="1"/>
    <col min="2" max="2" width="42.5703125" style="1" customWidth="1"/>
    <col min="3" max="16384" width="20" style="1"/>
  </cols>
  <sheetData>
    <row r="2" spans="2:1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2:15">
      <c r="B3" s="17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2:15">
      <c r="B4" s="17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2:1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2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5" ht="24.95" customHeight="1"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5" t="s">
        <v>17</v>
      </c>
    </row>
    <row r="8" spans="2:15" ht="15.75" customHeight="1">
      <c r="B8" s="6" t="s">
        <v>18</v>
      </c>
      <c r="C8" s="7">
        <v>107193883.38163985</v>
      </c>
      <c r="D8" s="7">
        <v>166097167.71273926</v>
      </c>
      <c r="E8" s="8">
        <v>193100466.84396294</v>
      </c>
      <c r="F8" s="8">
        <v>162423515.00950095</v>
      </c>
      <c r="G8" s="8">
        <v>158374950.67926186</v>
      </c>
      <c r="H8" s="8">
        <v>142061394.23126552</v>
      </c>
      <c r="I8" s="8">
        <v>186636994.99406245</v>
      </c>
      <c r="J8" s="8">
        <v>191066613.86158532</v>
      </c>
      <c r="K8" s="8">
        <v>184375278.56848988</v>
      </c>
      <c r="L8" s="8">
        <v>197805789.75770396</v>
      </c>
      <c r="M8" s="9">
        <v>172440089.93813819</v>
      </c>
      <c r="N8" s="9">
        <v>133468084.3891059</v>
      </c>
      <c r="O8" s="7">
        <v>1995044229.3674562</v>
      </c>
    </row>
    <row r="9" spans="2:15" ht="11.45" customHeight="1">
      <c r="B9" s="6" t="s">
        <v>19</v>
      </c>
      <c r="C9" s="7">
        <v>17107563.990227915</v>
      </c>
      <c r="D9" s="7">
        <v>16804240.100250039</v>
      </c>
      <c r="E9" s="8">
        <v>11489011.270616416</v>
      </c>
      <c r="F9" s="8">
        <v>12287334.464545052</v>
      </c>
      <c r="G9" s="8">
        <v>18898531.116739158</v>
      </c>
      <c r="H9" s="8">
        <v>17044168.217289753</v>
      </c>
      <c r="I9" s="8">
        <v>22416828.918344073</v>
      </c>
      <c r="J9" s="8">
        <v>19817959.264806755</v>
      </c>
      <c r="K9" s="8">
        <v>15980033.120398117</v>
      </c>
      <c r="L9" s="8">
        <v>13800332.59992782</v>
      </c>
      <c r="M9" s="9">
        <v>9710231.4127201959</v>
      </c>
      <c r="N9" s="9">
        <v>15986619.081865629</v>
      </c>
      <c r="O9" s="7">
        <v>191342853.55773091</v>
      </c>
    </row>
    <row r="10" spans="2:15" ht="11.45" customHeight="1">
      <c r="B10" s="6" t="s">
        <v>20</v>
      </c>
      <c r="C10" s="7">
        <v>155905.52763819144</v>
      </c>
      <c r="D10" s="7">
        <v>97931.658291457265</v>
      </c>
      <c r="E10" s="8">
        <v>101685.42713567815</v>
      </c>
      <c r="F10" s="8">
        <v>128508.5427135674</v>
      </c>
      <c r="G10" s="8">
        <v>139659.29648241185</v>
      </c>
      <c r="H10" s="8">
        <v>109272.36180904521</v>
      </c>
      <c r="I10" s="8">
        <v>121248.24120603023</v>
      </c>
      <c r="J10" s="8">
        <v>106713.56783919575</v>
      </c>
      <c r="K10" s="8">
        <v>99304.522613065274</v>
      </c>
      <c r="L10" s="8">
        <v>79833.165829145437</v>
      </c>
      <c r="M10" s="9">
        <v>130980.90452261317</v>
      </c>
      <c r="N10" s="9">
        <v>132076.3819095474</v>
      </c>
      <c r="O10" s="7">
        <v>1403119.5979899485</v>
      </c>
    </row>
    <row r="11" spans="2:15" ht="11.45" customHeight="1">
      <c r="B11" s="6" t="s">
        <v>21</v>
      </c>
      <c r="C11" s="7">
        <v>159405.02512562781</v>
      </c>
      <c r="D11" s="7">
        <v>90444.2211055277</v>
      </c>
      <c r="E11" s="8">
        <v>108744.72361809049</v>
      </c>
      <c r="F11" s="8">
        <v>288255.2763819095</v>
      </c>
      <c r="G11" s="8">
        <v>358173.86934673332</v>
      </c>
      <c r="H11" s="8">
        <v>262543.71859296481</v>
      </c>
      <c r="I11" s="8">
        <v>118956.78391959777</v>
      </c>
      <c r="J11" s="8">
        <v>66269.346733668091</v>
      </c>
      <c r="K11" s="8">
        <v>45497.487437185744</v>
      </c>
      <c r="L11" s="8">
        <v>82119.59798994966</v>
      </c>
      <c r="M11" s="9">
        <v>227710.552763819</v>
      </c>
      <c r="N11" s="9">
        <v>194500.50251256238</v>
      </c>
      <c r="O11" s="7">
        <v>2002621.1055276364</v>
      </c>
    </row>
    <row r="12" spans="2:15" ht="11.45" customHeight="1">
      <c r="B12" s="6" t="s">
        <v>22</v>
      </c>
      <c r="C12" s="7">
        <v>29163393.263258472</v>
      </c>
      <c r="D12" s="7">
        <v>23449584.034300003</v>
      </c>
      <c r="E12" s="8">
        <v>21370232.673229586</v>
      </c>
      <c r="F12" s="8">
        <v>23204957.191525094</v>
      </c>
      <c r="G12" s="8">
        <v>29652860.630046643</v>
      </c>
      <c r="H12" s="8">
        <v>31214719.930204477</v>
      </c>
      <c r="I12" s="8">
        <v>34185136.531278737</v>
      </c>
      <c r="J12" s="8">
        <v>35282718.722152911</v>
      </c>
      <c r="K12" s="8">
        <v>35141865.445369802</v>
      </c>
      <c r="L12" s="8">
        <v>30720921.572454471</v>
      </c>
      <c r="M12" s="9">
        <v>19747268.803911261</v>
      </c>
      <c r="N12" s="9">
        <v>12916613.4328564</v>
      </c>
      <c r="O12" s="7">
        <v>326050272.23058784</v>
      </c>
    </row>
    <row r="13" spans="2:15" ht="11.45" customHeight="1">
      <c r="B13" s="6" t="s">
        <v>23</v>
      </c>
      <c r="C13" s="7">
        <v>0</v>
      </c>
      <c r="D13" s="7">
        <v>0</v>
      </c>
      <c r="E13" s="8">
        <v>175168.23308028586</v>
      </c>
      <c r="F13" s="8">
        <v>0</v>
      </c>
      <c r="G13" s="8">
        <v>496551.53629622515</v>
      </c>
      <c r="H13" s="8">
        <v>1786241.8083625913</v>
      </c>
      <c r="I13" s="8">
        <v>1624101.4306324616</v>
      </c>
      <c r="J13" s="8">
        <v>108799.91628257738</v>
      </c>
      <c r="K13" s="8">
        <v>1433190.6290269047</v>
      </c>
      <c r="L13" s="8">
        <v>1186333.1812439139</v>
      </c>
      <c r="M13" s="9">
        <v>240949.40072991027</v>
      </c>
      <c r="N13" s="9">
        <v>177428.49051439943</v>
      </c>
      <c r="O13" s="7">
        <v>7228764.6261692699</v>
      </c>
    </row>
    <row r="14" spans="2:15" ht="11.45" customHeight="1">
      <c r="B14" s="6" t="s">
        <v>24</v>
      </c>
      <c r="C14" s="7">
        <v>570991.69627383584</v>
      </c>
      <c r="D14" s="7">
        <v>470391.78018366959</v>
      </c>
      <c r="E14" s="8">
        <v>512692.28231229313</v>
      </c>
      <c r="F14" s="8">
        <v>560952.26294363209</v>
      </c>
      <c r="G14" s="8">
        <v>627571.32673819375</v>
      </c>
      <c r="H14" s="8">
        <v>785591.83244248945</v>
      </c>
      <c r="I14" s="8">
        <v>553046.19718027592</v>
      </c>
      <c r="J14" s="8">
        <v>466420.61742012796</v>
      </c>
      <c r="K14" s="8">
        <v>571642.44593180693</v>
      </c>
      <c r="L14" s="8">
        <v>534360.59360249748</v>
      </c>
      <c r="M14" s="9">
        <v>195983.48270047363</v>
      </c>
      <c r="N14" s="9">
        <v>632.20937901087996</v>
      </c>
      <c r="O14" s="7">
        <v>5850276.7271083063</v>
      </c>
    </row>
    <row r="15" spans="2:15" ht="11.45" customHeight="1">
      <c r="B15" s="6" t="s">
        <v>25</v>
      </c>
      <c r="C15" s="7">
        <v>8432345.1980371028</v>
      </c>
      <c r="D15" s="7">
        <v>7933507.2508518985</v>
      </c>
      <c r="E15" s="8">
        <v>8953966.700656442</v>
      </c>
      <c r="F15" s="8">
        <v>8219941.1541998666</v>
      </c>
      <c r="G15" s="10">
        <v>7866429.7890653852</v>
      </c>
      <c r="H15" s="8">
        <v>7575799.5431797961</v>
      </c>
      <c r="I15" s="8">
        <v>8136558.0369800711</v>
      </c>
      <c r="J15" s="8">
        <v>9015403.5570676997</v>
      </c>
      <c r="K15" s="8">
        <v>8504058.3864589185</v>
      </c>
      <c r="L15" s="8">
        <v>8287134.6309804404</v>
      </c>
      <c r="M15" s="9">
        <v>5687580.0621662037</v>
      </c>
      <c r="N15" s="9">
        <v>8012956.9259029878</v>
      </c>
      <c r="O15" s="7">
        <v>96625681.235546827</v>
      </c>
    </row>
    <row r="16" spans="2:15" ht="11.45" customHeight="1">
      <c r="B16" s="6" t="s">
        <v>26</v>
      </c>
      <c r="C16" s="7">
        <v>450392021.40704209</v>
      </c>
      <c r="D16" s="7">
        <v>384119585.12036443</v>
      </c>
      <c r="E16" s="8">
        <v>391724680.26965976</v>
      </c>
      <c r="F16" s="8">
        <v>497312191.21191037</v>
      </c>
      <c r="G16" s="8">
        <v>488811597.7717303</v>
      </c>
      <c r="H16" s="8">
        <v>297767872.67255306</v>
      </c>
      <c r="I16" s="8">
        <v>320394827.90356183</v>
      </c>
      <c r="J16" s="8">
        <v>511268042.73973656</v>
      </c>
      <c r="K16" s="8">
        <v>427808765.39994383</v>
      </c>
      <c r="L16" s="8">
        <v>495835937.71108687</v>
      </c>
      <c r="M16" s="9">
        <v>482978908.54954946</v>
      </c>
      <c r="N16" s="9">
        <v>487654073.91678977</v>
      </c>
      <c r="O16" s="7">
        <v>5236068504.6739283</v>
      </c>
    </row>
    <row r="17" spans="2:15" ht="11.45" customHeight="1">
      <c r="B17" s="6" t="s">
        <v>27</v>
      </c>
      <c r="C17" s="7">
        <v>0</v>
      </c>
      <c r="D17" s="7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9">
        <v>0</v>
      </c>
      <c r="N17" s="9">
        <v>0</v>
      </c>
      <c r="O17" s="7">
        <v>0</v>
      </c>
    </row>
    <row r="18" spans="2:15" ht="11.45" customHeight="1">
      <c r="B18" s="6" t="s">
        <v>28</v>
      </c>
      <c r="C18" s="7">
        <v>160851007.95558739</v>
      </c>
      <c r="D18" s="7">
        <v>157743810.55281737</v>
      </c>
      <c r="E18" s="8">
        <v>118888363.04846179</v>
      </c>
      <c r="F18" s="8">
        <v>169561465.45822942</v>
      </c>
      <c r="G18" s="8">
        <v>170940217.38139704</v>
      </c>
      <c r="H18" s="8">
        <v>173281608.21387714</v>
      </c>
      <c r="I18" s="8">
        <v>166753388.70892474</v>
      </c>
      <c r="J18" s="8">
        <v>180744989.07329202</v>
      </c>
      <c r="K18" s="8">
        <v>183693716.66136467</v>
      </c>
      <c r="L18" s="8">
        <v>179800605.58308592</v>
      </c>
      <c r="M18" s="9">
        <v>158312121.39391547</v>
      </c>
      <c r="N18" s="9">
        <v>165586994.70335507</v>
      </c>
      <c r="O18" s="7">
        <v>1986158288.7343082</v>
      </c>
    </row>
    <row r="19" spans="2:15" ht="11.45" customHeight="1">
      <c r="B19" s="6" t="s">
        <v>29</v>
      </c>
      <c r="C19" s="11">
        <v>8940787.4054430574</v>
      </c>
      <c r="D19" s="11">
        <v>9229477.142886417</v>
      </c>
      <c r="E19" s="10">
        <v>11295055.808742795</v>
      </c>
      <c r="F19" s="10">
        <v>10626849.441490402</v>
      </c>
      <c r="G19" s="10">
        <v>10453567.876527706</v>
      </c>
      <c r="H19" s="10">
        <v>9976802.0036680233</v>
      </c>
      <c r="I19" s="10">
        <v>10181583.373482626</v>
      </c>
      <c r="J19" s="8">
        <v>10882503.836007191</v>
      </c>
      <c r="K19" s="10">
        <v>9932057.2688840199</v>
      </c>
      <c r="L19" s="8">
        <v>9419269.0451329947</v>
      </c>
      <c r="M19" s="9">
        <v>7035223.7627053894</v>
      </c>
      <c r="N19" s="9">
        <v>7818835.1587850293</v>
      </c>
      <c r="O19" s="7">
        <v>115792012.12375565</v>
      </c>
    </row>
    <row r="20" spans="2:15" ht="11.45" customHeight="1">
      <c r="B20" s="6" t="s">
        <v>30</v>
      </c>
      <c r="C20" s="11">
        <v>5089034.5401594741</v>
      </c>
      <c r="D20" s="11">
        <v>5530101.5607663458</v>
      </c>
      <c r="E20" s="10">
        <v>6642945.6764943488</v>
      </c>
      <c r="F20" s="10">
        <v>6291696.9577754792</v>
      </c>
      <c r="G20" s="10">
        <v>6101415.0567725077</v>
      </c>
      <c r="H20" s="10">
        <v>5850798.4799778778</v>
      </c>
      <c r="I20" s="10">
        <v>5891252.4489747258</v>
      </c>
      <c r="J20" s="8">
        <v>6365278.9669228047</v>
      </c>
      <c r="K20" s="10">
        <v>5965904.8253666526</v>
      </c>
      <c r="L20" s="8">
        <v>5484794.1522397669</v>
      </c>
      <c r="M20" s="9">
        <v>3812750.9749585856</v>
      </c>
      <c r="N20" s="9">
        <v>4648762.9897974711</v>
      </c>
      <c r="O20" s="7">
        <v>67674736.630206048</v>
      </c>
    </row>
    <row r="21" spans="2:15" ht="11.45" customHeight="1">
      <c r="B21" s="6" t="s">
        <v>31</v>
      </c>
      <c r="C21" s="7">
        <v>1561775.7338581504</v>
      </c>
      <c r="D21" s="7">
        <v>623401.98912577936</v>
      </c>
      <c r="E21" s="8">
        <v>725257.41292849323</v>
      </c>
      <c r="F21" s="8">
        <v>580979.77804228722</v>
      </c>
      <c r="G21" s="8">
        <v>249652.18574027211</v>
      </c>
      <c r="H21" s="8">
        <v>557140.56359963806</v>
      </c>
      <c r="I21" s="8">
        <v>898418.88366772688</v>
      </c>
      <c r="J21" s="8">
        <v>1151926.572184867</v>
      </c>
      <c r="K21" s="8">
        <v>1446076.7375348187</v>
      </c>
      <c r="L21" s="8">
        <v>1130341.9050688427</v>
      </c>
      <c r="M21" s="9">
        <v>865682.78509954794</v>
      </c>
      <c r="N21" s="9">
        <v>1398091.9208943553</v>
      </c>
      <c r="O21" s="7">
        <v>11188746.467744777</v>
      </c>
    </row>
    <row r="22" spans="2:15" ht="11.45" customHeight="1">
      <c r="B22" s="6" t="s">
        <v>32</v>
      </c>
      <c r="C22" s="7">
        <v>92815.075376884357</v>
      </c>
      <c r="D22" s="7">
        <v>67233.165829145932</v>
      </c>
      <c r="E22" s="8">
        <v>60848.241206030267</v>
      </c>
      <c r="F22" s="8">
        <v>96167.839195979876</v>
      </c>
      <c r="G22" s="8">
        <v>185963.81909547726</v>
      </c>
      <c r="H22" s="8">
        <v>199926.63316582926</v>
      </c>
      <c r="I22" s="8">
        <v>140087.43718592919</v>
      </c>
      <c r="J22" s="8">
        <v>94328.643216080236</v>
      </c>
      <c r="K22" s="8">
        <v>0</v>
      </c>
      <c r="L22" s="8">
        <v>0</v>
      </c>
      <c r="M22" s="9">
        <v>0</v>
      </c>
      <c r="N22" s="9">
        <v>0</v>
      </c>
      <c r="O22" s="7">
        <v>937370.85427135637</v>
      </c>
    </row>
    <row r="23" spans="2:15" ht="11.45" customHeight="1">
      <c r="B23" s="6" t="s">
        <v>33</v>
      </c>
      <c r="C23" s="7">
        <v>30108931.475684769</v>
      </c>
      <c r="D23" s="7">
        <v>24503719.466897126</v>
      </c>
      <c r="E23" s="8">
        <v>36809591.661698364</v>
      </c>
      <c r="F23" s="8">
        <v>23505478.53027638</v>
      </c>
      <c r="G23" s="8">
        <v>33935563.758499101</v>
      </c>
      <c r="H23" s="8">
        <v>56708548.719549507</v>
      </c>
      <c r="I23" s="8">
        <v>58458236.788759246</v>
      </c>
      <c r="J23" s="8">
        <v>52702742.803855777</v>
      </c>
      <c r="K23" s="8">
        <v>59565220.887433611</v>
      </c>
      <c r="L23" s="8">
        <v>67846325.630112395</v>
      </c>
      <c r="M23" s="9">
        <v>56471081.425298192</v>
      </c>
      <c r="N23" s="9">
        <v>47396446.683104597</v>
      </c>
      <c r="O23" s="7">
        <v>548011887.83116913</v>
      </c>
    </row>
    <row r="24" spans="2:15" ht="11.45" customHeight="1">
      <c r="B24" s="1" t="s">
        <v>34</v>
      </c>
      <c r="C24" s="7">
        <v>91782290.55612728</v>
      </c>
      <c r="D24" s="7">
        <v>87215326.93643111</v>
      </c>
      <c r="E24" s="8">
        <v>96417658.410918385</v>
      </c>
      <c r="F24" s="8">
        <v>96344726.114473641</v>
      </c>
      <c r="G24" s="8">
        <v>97205890.225730151</v>
      </c>
      <c r="H24" s="8">
        <v>103874520.61830172</v>
      </c>
      <c r="I24" s="8">
        <v>65803204.270358287</v>
      </c>
      <c r="J24" s="8">
        <v>100312828.37560824</v>
      </c>
      <c r="K24" s="8">
        <v>98782564.918618977</v>
      </c>
      <c r="L24" s="8">
        <v>104600803.15933734</v>
      </c>
      <c r="M24" s="9">
        <v>80380000.817909807</v>
      </c>
      <c r="N24" s="9">
        <v>88838733.862132162</v>
      </c>
      <c r="O24" s="7">
        <v>1111558548.2659471</v>
      </c>
    </row>
    <row r="25" spans="2:15" ht="11.45" customHeight="1">
      <c r="B25" s="6" t="s">
        <v>35</v>
      </c>
      <c r="C25" s="7">
        <v>0</v>
      </c>
      <c r="D25" s="7">
        <v>146750.60703437094</v>
      </c>
      <c r="E25" s="8">
        <v>0</v>
      </c>
      <c r="F25" s="8">
        <v>0</v>
      </c>
      <c r="G25" s="8">
        <v>1422887.0058725539</v>
      </c>
      <c r="H25" s="8">
        <v>6794617.6306233564</v>
      </c>
      <c r="I25" s="8">
        <v>0</v>
      </c>
      <c r="J25" s="8">
        <v>0</v>
      </c>
      <c r="K25" s="8">
        <v>61527.215880962009</v>
      </c>
      <c r="L25" s="8">
        <v>2704602.3633382707</v>
      </c>
      <c r="M25" s="9">
        <v>5.0515463938999999E-2</v>
      </c>
      <c r="N25" s="9">
        <v>0</v>
      </c>
      <c r="O25" s="7">
        <v>11130384.873264978</v>
      </c>
    </row>
    <row r="26" spans="2:15" ht="11.45" customHeight="1">
      <c r="B26" s="6" t="s">
        <v>36</v>
      </c>
      <c r="C26" s="7">
        <v>6902646.5544915739</v>
      </c>
      <c r="D26" s="7">
        <v>5616136.4650108442</v>
      </c>
      <c r="E26" s="8">
        <v>5334852.0468212776</v>
      </c>
      <c r="F26" s="8">
        <v>4124516.7443225742</v>
      </c>
      <c r="G26" s="8">
        <v>9129210.1923835091</v>
      </c>
      <c r="H26" s="8">
        <v>7198582.7446034169</v>
      </c>
      <c r="I26" s="8">
        <v>6417777.9328443129</v>
      </c>
      <c r="J26" s="8">
        <v>6164215.6671188222</v>
      </c>
      <c r="K26" s="8">
        <v>6190071.6084371656</v>
      </c>
      <c r="L26" s="8">
        <v>3734541.4167717369</v>
      </c>
      <c r="M26" s="9">
        <v>3524014.0381495184</v>
      </c>
      <c r="N26" s="9">
        <v>5282219.8890299667</v>
      </c>
      <c r="O26" s="7">
        <v>69618785.299984723</v>
      </c>
    </row>
    <row r="27" spans="2:15" ht="11.45" customHeight="1">
      <c r="B27" s="6" t="s">
        <v>37</v>
      </c>
      <c r="C27" s="7">
        <v>38799.677851072738</v>
      </c>
      <c r="D27" s="7">
        <v>220291.43673626083</v>
      </c>
      <c r="E27" s="8">
        <v>409737.62251480215</v>
      </c>
      <c r="F27" s="8">
        <v>0</v>
      </c>
      <c r="G27" s="8">
        <v>595994.50463729748</v>
      </c>
      <c r="H27" s="8">
        <v>2488741.3374640956</v>
      </c>
      <c r="I27" s="8">
        <v>2568105.4015254392</v>
      </c>
      <c r="J27" s="8">
        <v>324177.47014862776</v>
      </c>
      <c r="K27" s="8">
        <v>1129113.3754358732</v>
      </c>
      <c r="L27" s="8">
        <v>1544379.9766067804</v>
      </c>
      <c r="M27" s="9">
        <v>560884.40864845098</v>
      </c>
      <c r="N27" s="9">
        <v>470727.40542485093</v>
      </c>
      <c r="O27" s="7">
        <v>10350952.61699355</v>
      </c>
    </row>
    <row r="28" spans="2:15" ht="11.45" customHeight="1">
      <c r="B28" s="6" t="s">
        <v>38</v>
      </c>
      <c r="C28" s="7">
        <v>183617469.4184016</v>
      </c>
      <c r="D28" s="7">
        <v>104163345.07667904</v>
      </c>
      <c r="E28" s="8">
        <v>149843303.47810873</v>
      </c>
      <c r="F28" s="8">
        <v>172714458.44703698</v>
      </c>
      <c r="G28" s="8">
        <v>170037147.42766696</v>
      </c>
      <c r="H28" s="8">
        <v>160632120.51691535</v>
      </c>
      <c r="I28" s="8">
        <v>160044040.75142783</v>
      </c>
      <c r="J28" s="8">
        <v>173795253.31016824</v>
      </c>
      <c r="K28" s="8">
        <v>167423398.60967571</v>
      </c>
      <c r="L28" s="8">
        <v>145690556.24669081</v>
      </c>
      <c r="M28" s="9">
        <v>92974121.047829494</v>
      </c>
      <c r="N28" s="9">
        <v>142014520.00350487</v>
      </c>
      <c r="O28" s="7">
        <v>1822949734.3341055</v>
      </c>
    </row>
    <row r="29" spans="2:15" ht="11.45" customHeight="1">
      <c r="B29" s="6" t="s">
        <v>39</v>
      </c>
      <c r="C29" s="7">
        <v>14207573.18490104</v>
      </c>
      <c r="D29" s="7">
        <v>16558051.529453412</v>
      </c>
      <c r="E29" s="8">
        <v>10438718.774005877</v>
      </c>
      <c r="F29" s="8">
        <v>9804455.2190654725</v>
      </c>
      <c r="G29" s="8">
        <v>13181071.393703274</v>
      </c>
      <c r="H29" s="8">
        <v>14486458.307347246</v>
      </c>
      <c r="I29" s="8">
        <v>15235390.796201672</v>
      </c>
      <c r="J29" s="8">
        <v>17643405.320820179</v>
      </c>
      <c r="K29" s="8">
        <v>14465985.745549563</v>
      </c>
      <c r="L29" s="8">
        <v>12032770.767176598</v>
      </c>
      <c r="M29" s="9">
        <v>11750462.444589062</v>
      </c>
      <c r="N29" s="9">
        <v>14518094.70129624</v>
      </c>
      <c r="O29" s="7">
        <v>164322438.18410963</v>
      </c>
    </row>
    <row r="30" spans="2:15" ht="11.45" customHeight="1">
      <c r="B30" s="6" t="s">
        <v>40</v>
      </c>
      <c r="C30" s="7">
        <v>4782802.3079275647</v>
      </c>
      <c r="D30" s="7">
        <v>3565629.5396029139</v>
      </c>
      <c r="E30" s="8">
        <v>3114756.7959734569</v>
      </c>
      <c r="F30" s="8">
        <v>3918296.249385363</v>
      </c>
      <c r="G30" s="8">
        <v>4473331.2439712808</v>
      </c>
      <c r="H30" s="8">
        <v>4152833.0637653274</v>
      </c>
      <c r="I30" s="8">
        <v>4614127.3973749224</v>
      </c>
      <c r="J30" s="8">
        <v>2898002.8522615959</v>
      </c>
      <c r="K30" s="8">
        <v>2664501.4353605537</v>
      </c>
      <c r="L30" s="8">
        <v>2501154.4353223117</v>
      </c>
      <c r="M30" s="9">
        <v>0</v>
      </c>
      <c r="N30" s="9">
        <v>0</v>
      </c>
      <c r="O30" s="7">
        <v>36685435.320945293</v>
      </c>
    </row>
    <row r="31" spans="2:15" ht="11.45" customHeight="1">
      <c r="B31" s="6" t="s">
        <v>41</v>
      </c>
      <c r="C31" s="7">
        <v>20908498.830027066</v>
      </c>
      <c r="D31" s="7">
        <v>23556297.258690234</v>
      </c>
      <c r="E31" s="8">
        <v>38628744.279867798</v>
      </c>
      <c r="F31" s="8">
        <v>22482078.168686561</v>
      </c>
      <c r="G31" s="8">
        <v>28393878.778297409</v>
      </c>
      <c r="H31" s="8">
        <v>49091268.50795462</v>
      </c>
      <c r="I31" s="8">
        <v>49299857.781173915</v>
      </c>
      <c r="J31" s="8">
        <v>42615940.467061654</v>
      </c>
      <c r="K31" s="8">
        <v>46253301.321590297</v>
      </c>
      <c r="L31" s="8">
        <v>42167520.164070234</v>
      </c>
      <c r="M31" s="9">
        <v>23011143.639895909</v>
      </c>
      <c r="N31" s="9">
        <v>24850899.125981487</v>
      </c>
      <c r="O31" s="7">
        <v>411259428.3232972</v>
      </c>
    </row>
    <row r="32" spans="2:15" ht="11.45" customHeight="1">
      <c r="B32" s="6" t="s">
        <v>42</v>
      </c>
      <c r="C32" s="7">
        <v>232623.11557788934</v>
      </c>
      <c r="D32" s="7">
        <v>183153.76884422099</v>
      </c>
      <c r="E32" s="8">
        <v>184889.44723618074</v>
      </c>
      <c r="F32" s="8">
        <v>182309.54773869336</v>
      </c>
      <c r="G32" s="8">
        <v>168219.0954773867</v>
      </c>
      <c r="H32" s="8">
        <v>143959.79899497482</v>
      </c>
      <c r="I32" s="8">
        <v>197645.22613065341</v>
      </c>
      <c r="J32" s="8">
        <v>257115.57788944739</v>
      </c>
      <c r="K32" s="8">
        <v>279195.97989949712</v>
      </c>
      <c r="L32" s="8">
        <v>160500.50251256296</v>
      </c>
      <c r="M32" s="9">
        <v>105833.1658291456</v>
      </c>
      <c r="N32" s="9">
        <v>145857.28643216065</v>
      </c>
      <c r="O32" s="7">
        <v>2241302.5125628132</v>
      </c>
    </row>
    <row r="33" spans="2:15" ht="11.45" customHeight="1">
      <c r="B33" s="6" t="s">
        <v>43</v>
      </c>
      <c r="C33" s="7">
        <v>373327.50907348265</v>
      </c>
      <c r="D33" s="7">
        <v>457606.90101510013</v>
      </c>
      <c r="E33" s="8">
        <v>540530.87168382795</v>
      </c>
      <c r="F33" s="8">
        <v>619519.63732286193</v>
      </c>
      <c r="G33" s="8">
        <v>760728.61779333872</v>
      </c>
      <c r="H33" s="8">
        <v>681910.15157188359</v>
      </c>
      <c r="I33" s="8">
        <v>791520.14948786562</v>
      </c>
      <c r="J33" s="8">
        <v>907876.11490090436</v>
      </c>
      <c r="K33" s="8">
        <v>855044.13736797706</v>
      </c>
      <c r="L33" s="8">
        <v>1060709.3075088162</v>
      </c>
      <c r="M33" s="9">
        <v>1104448.2421318621</v>
      </c>
      <c r="N33" s="9">
        <v>1167986.828137157</v>
      </c>
      <c r="O33" s="7">
        <v>9321208.4679950774</v>
      </c>
    </row>
    <row r="34" spans="2:15" ht="11.45" customHeight="1">
      <c r="B34" s="6" t="s">
        <v>44</v>
      </c>
      <c r="C34" s="7">
        <v>3710606.6790680881</v>
      </c>
      <c r="D34" s="7">
        <v>3721051.7144453689</v>
      </c>
      <c r="E34" s="8">
        <v>4428858.7759661814</v>
      </c>
      <c r="F34" s="8">
        <v>4198725.2027372681</v>
      </c>
      <c r="G34" s="8">
        <v>10854548.338169044</v>
      </c>
      <c r="H34" s="8">
        <v>8683253.7609386314</v>
      </c>
      <c r="I34" s="8">
        <v>6013566.3097772915</v>
      </c>
      <c r="J34" s="8">
        <v>6217715.3463179888</v>
      </c>
      <c r="K34" s="8">
        <v>4231765.9182515433</v>
      </c>
      <c r="L34" s="8">
        <v>3890181.2738752631</v>
      </c>
      <c r="M34" s="9">
        <v>3674485.2803682582</v>
      </c>
      <c r="N34" s="9">
        <v>4924810.1023846446</v>
      </c>
      <c r="O34" s="7">
        <v>64549568.702299573</v>
      </c>
    </row>
    <row r="35" spans="2:15" ht="11.45" customHeight="1">
      <c r="B35" s="6" t="s">
        <v>45</v>
      </c>
      <c r="C35" s="7">
        <v>0</v>
      </c>
      <c r="D35" s="7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9">
        <v>0</v>
      </c>
      <c r="N35" s="9">
        <v>0</v>
      </c>
      <c r="O35" s="7">
        <v>0</v>
      </c>
    </row>
    <row r="36" spans="2:15" ht="11.45" customHeight="1">
      <c r="B36" s="6" t="s">
        <v>46</v>
      </c>
      <c r="C36" s="7">
        <v>4589435.7634710483</v>
      </c>
      <c r="D36" s="7">
        <v>10478467.560412571</v>
      </c>
      <c r="E36" s="8">
        <v>17710602.769544907</v>
      </c>
      <c r="F36" s="8">
        <v>6221798.2033813093</v>
      </c>
      <c r="G36" s="8">
        <v>12058564.790342269</v>
      </c>
      <c r="H36" s="8">
        <v>24253796.063346423</v>
      </c>
      <c r="I36" s="8">
        <v>22433398.312380724</v>
      </c>
      <c r="J36" s="8">
        <v>20079492.83709785</v>
      </c>
      <c r="K36" s="8">
        <v>22766282.624895666</v>
      </c>
      <c r="L36" s="8">
        <v>22632168.54847686</v>
      </c>
      <c r="M36" s="9">
        <v>9802379.4079779852</v>
      </c>
      <c r="N36" s="9">
        <v>7462192.1216307133</v>
      </c>
      <c r="O36" s="7">
        <v>180488579.00295836</v>
      </c>
    </row>
    <row r="37" spans="2:15" ht="11.45" customHeight="1">
      <c r="B37" s="6" t="s">
        <v>47</v>
      </c>
      <c r="C37" s="7">
        <v>2353181.7242699196</v>
      </c>
      <c r="D37" s="7">
        <v>2506591.9512980534</v>
      </c>
      <c r="E37" s="8">
        <v>2442259.5374751044</v>
      </c>
      <c r="F37" s="8">
        <v>2538807.3775725281</v>
      </c>
      <c r="G37" s="8">
        <v>2605916.3283485053</v>
      </c>
      <c r="H37" s="8">
        <v>1991612.8126963044</v>
      </c>
      <c r="I37" s="8">
        <v>2180824.8570409208</v>
      </c>
      <c r="J37" s="8">
        <v>2539444.4849430774</v>
      </c>
      <c r="K37" s="8">
        <v>2417023.831136412</v>
      </c>
      <c r="L37" s="8">
        <v>2481671.4303286499</v>
      </c>
      <c r="M37" s="9">
        <v>2785384.2538003027</v>
      </c>
      <c r="N37" s="9">
        <v>4896975.9751017503</v>
      </c>
      <c r="O37" s="7">
        <v>31739694.564011529</v>
      </c>
    </row>
    <row r="38" spans="2:15" ht="11.45" customHeight="1">
      <c r="B38" s="6" t="s">
        <v>48</v>
      </c>
      <c r="C38" s="7">
        <v>0</v>
      </c>
      <c r="D38" s="7">
        <v>0</v>
      </c>
      <c r="E38" s="8">
        <v>6553.7688442211056</v>
      </c>
      <c r="F38" s="8">
        <v>0</v>
      </c>
      <c r="G38" s="8">
        <v>88156.78391959818</v>
      </c>
      <c r="H38" s="8">
        <v>99871.356783919648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N38" s="9">
        <v>90485.427135678445</v>
      </c>
      <c r="O38" s="7">
        <v>285067.33668341738</v>
      </c>
    </row>
    <row r="39" spans="2:15" ht="11.45" customHeight="1">
      <c r="B39" s="6" t="s">
        <v>49</v>
      </c>
      <c r="C39" s="7"/>
      <c r="D39" s="7"/>
      <c r="E39" s="8"/>
      <c r="F39" s="8"/>
      <c r="G39" s="8"/>
      <c r="H39" s="8">
        <v>416600.57617130294</v>
      </c>
      <c r="I39" s="8">
        <v>729991.95083598222</v>
      </c>
      <c r="J39" s="8">
        <v>1342028.9110510293</v>
      </c>
      <c r="K39" s="8">
        <v>1365233.3694123828</v>
      </c>
      <c r="L39" s="8">
        <v>1518450.3774096502</v>
      </c>
      <c r="M39" s="9">
        <v>1061334.3807834354</v>
      </c>
      <c r="N39" s="9">
        <v>1182054.1294911909</v>
      </c>
      <c r="O39" s="7">
        <v>7615693.6951549742</v>
      </c>
    </row>
    <row r="40" spans="2:15" ht="11.45" customHeight="1">
      <c r="B40" s="6" t="s">
        <v>50</v>
      </c>
      <c r="C40" s="11">
        <v>6306266.1651065191</v>
      </c>
      <c r="D40" s="11">
        <v>6702483.5389131159</v>
      </c>
      <c r="E40" s="10">
        <v>7754049.3110837387</v>
      </c>
      <c r="F40" s="10">
        <v>6660558.6173725817</v>
      </c>
      <c r="G40" s="10">
        <v>6923312.7527625365</v>
      </c>
      <c r="H40" s="10">
        <v>7512889.2515785946</v>
      </c>
      <c r="I40" s="10">
        <v>7642075.3506639013</v>
      </c>
      <c r="J40" s="8">
        <v>7714673.4399755979</v>
      </c>
      <c r="K40" s="8">
        <v>7129021.8415981932</v>
      </c>
      <c r="L40" s="8">
        <v>6783901.6896301443</v>
      </c>
      <c r="M40" s="9">
        <v>5059647.2394247679</v>
      </c>
      <c r="N40" s="9">
        <v>5059647.2394247679</v>
      </c>
      <c r="O40" s="7">
        <v>81248526.437534451</v>
      </c>
    </row>
    <row r="41" spans="2:15" ht="11.45" customHeight="1">
      <c r="B41" s="6" t="s">
        <v>51</v>
      </c>
      <c r="C41" s="7">
        <v>354706.22148371855</v>
      </c>
      <c r="D41" s="7">
        <v>915195.6711916629</v>
      </c>
      <c r="E41" s="8">
        <v>7997964.8299738122</v>
      </c>
      <c r="F41" s="8">
        <v>1133667.9022914919</v>
      </c>
      <c r="G41" s="8">
        <v>8238954.8814707305</v>
      </c>
      <c r="H41" s="8">
        <v>20028421.64109103</v>
      </c>
      <c r="I41" s="8">
        <v>17050532.085977528</v>
      </c>
      <c r="J41" s="8">
        <v>13591276.805148263</v>
      </c>
      <c r="K41" s="8">
        <v>17667639.738739938</v>
      </c>
      <c r="L41" s="8">
        <v>18022515.67132223</v>
      </c>
      <c r="M41" s="9">
        <v>4980142.2771734381</v>
      </c>
      <c r="N41" s="9">
        <v>2860898.8411921808</v>
      </c>
      <c r="O41" s="7">
        <v>112841916.56705603</v>
      </c>
    </row>
    <row r="42" spans="2:15" ht="11.45" customHeight="1">
      <c r="B42" s="6" t="s">
        <v>52</v>
      </c>
      <c r="C42" s="7">
        <v>11526928.563597672</v>
      </c>
      <c r="D42" s="7">
        <v>11061882.232270952</v>
      </c>
      <c r="E42" s="8">
        <v>12348048.07265676</v>
      </c>
      <c r="F42" s="8">
        <v>10342540.146479003</v>
      </c>
      <c r="G42" s="8">
        <v>8620968.0169391632</v>
      </c>
      <c r="H42" s="8">
        <v>9364467.0342016425</v>
      </c>
      <c r="I42" s="8">
        <v>12672924.072219342</v>
      </c>
      <c r="J42" s="8">
        <v>12068402.539183222</v>
      </c>
      <c r="K42" s="8">
        <v>10139303.744386645</v>
      </c>
      <c r="L42" s="8">
        <v>10923242.990226228</v>
      </c>
      <c r="M42" s="9">
        <v>9105709.1649406366</v>
      </c>
      <c r="N42" s="9">
        <v>17681077.846665218</v>
      </c>
      <c r="O42" s="7">
        <v>135855494.42376649</v>
      </c>
    </row>
    <row r="43" spans="2:15" ht="11.45" customHeight="1">
      <c r="B43" s="6" t="s">
        <v>53</v>
      </c>
      <c r="C43" s="7">
        <v>3453606.9652496986</v>
      </c>
      <c r="D43" s="7">
        <v>3543212.6322901421</v>
      </c>
      <c r="E43" s="8">
        <v>4141915.3155474914</v>
      </c>
      <c r="F43" s="8">
        <v>2927858.9101607921</v>
      </c>
      <c r="G43" s="8">
        <v>3665021.2031585854</v>
      </c>
      <c r="H43" s="8">
        <v>3455238.2851303103</v>
      </c>
      <c r="I43" s="8">
        <v>3054828.1873088493</v>
      </c>
      <c r="J43" s="8">
        <v>6715547.2434273213</v>
      </c>
      <c r="K43" s="8">
        <v>8794321.8092791177</v>
      </c>
      <c r="L43" s="8">
        <v>8905602.6428266838</v>
      </c>
      <c r="M43" s="9">
        <v>6836654.1933857854</v>
      </c>
      <c r="N43" s="9">
        <v>7934893.2704013474</v>
      </c>
      <c r="O43" s="7">
        <v>63428700.658166125</v>
      </c>
    </row>
    <row r="44" spans="2:15" ht="11.45" customHeight="1">
      <c r="B44" s="6" t="s">
        <v>54</v>
      </c>
      <c r="C44" s="7">
        <v>2529927.7988343379</v>
      </c>
      <c r="D44" s="7">
        <v>9993223.3028483894</v>
      </c>
      <c r="E44" s="8">
        <v>21214989.582112096</v>
      </c>
      <c r="F44" s="8">
        <v>6245084.7142861262</v>
      </c>
      <c r="G44" s="8">
        <v>28827723.808156945</v>
      </c>
      <c r="H44" s="8">
        <v>53369666.518755436</v>
      </c>
      <c r="I44" s="8">
        <v>43187221.404922083</v>
      </c>
      <c r="J44" s="8">
        <v>30590734.733810179</v>
      </c>
      <c r="K44" s="8">
        <v>46236945.098962784</v>
      </c>
      <c r="L44" s="8">
        <v>49111413.718620971</v>
      </c>
      <c r="M44" s="9">
        <v>20835094.878154732</v>
      </c>
      <c r="N44" s="9">
        <v>6215657.0782798417</v>
      </c>
      <c r="O44" s="7">
        <v>318357682.63774395</v>
      </c>
    </row>
    <row r="45" spans="2:15" ht="11.45" customHeight="1">
      <c r="B45" s="6" t="s">
        <v>55</v>
      </c>
      <c r="C45" s="7">
        <v>7532178.7350189146</v>
      </c>
      <c r="D45" s="7">
        <v>7152190.5294914106</v>
      </c>
      <c r="E45" s="8">
        <v>9105629.848756602</v>
      </c>
      <c r="F45" s="8">
        <v>8596689.3230478149</v>
      </c>
      <c r="G45" s="8">
        <v>8244472.7136358488</v>
      </c>
      <c r="H45" s="8">
        <v>7692052.1864734171</v>
      </c>
      <c r="I45" s="8">
        <v>8227223.2767737731</v>
      </c>
      <c r="J45" s="8">
        <v>8905655.7055501547</v>
      </c>
      <c r="K45" s="8">
        <v>8196543.3406730127</v>
      </c>
      <c r="L45" s="8">
        <v>7447102.6977763223</v>
      </c>
      <c r="M45" s="9">
        <v>6303845.736348372</v>
      </c>
      <c r="N45" s="9">
        <v>6167382.4719707649</v>
      </c>
      <c r="O45" s="7">
        <v>93570966.565516412</v>
      </c>
    </row>
    <row r="46" spans="2:15" ht="11.45" customHeight="1">
      <c r="B46" s="6" t="s">
        <v>56</v>
      </c>
      <c r="C46" s="7">
        <v>0</v>
      </c>
      <c r="D46" s="7">
        <v>0</v>
      </c>
      <c r="E46" s="8">
        <v>0</v>
      </c>
      <c r="F46" s="8">
        <v>0</v>
      </c>
      <c r="G46" s="8">
        <v>0</v>
      </c>
      <c r="H46" s="8">
        <v>18040.201005025021</v>
      </c>
      <c r="I46" s="8">
        <v>1774.8743718592959</v>
      </c>
      <c r="J46" s="8">
        <v>81.407035175878008</v>
      </c>
      <c r="K46" s="8">
        <v>0</v>
      </c>
      <c r="L46" s="8">
        <v>0</v>
      </c>
      <c r="M46" s="9">
        <v>0</v>
      </c>
      <c r="N46" s="9">
        <v>0</v>
      </c>
      <c r="O46" s="7">
        <v>19896.482412060195</v>
      </c>
    </row>
    <row r="47" spans="2:15" ht="11.45" customHeight="1">
      <c r="B47" s="6" t="s">
        <v>57</v>
      </c>
      <c r="C47" s="7">
        <v>9484150.0314086713</v>
      </c>
      <c r="D47" s="7">
        <v>14068998.930422602</v>
      </c>
      <c r="E47" s="8">
        <v>28470086.10490321</v>
      </c>
      <c r="F47" s="8">
        <v>7292033.2298965752</v>
      </c>
      <c r="G47" s="8">
        <v>13006833.099247433</v>
      </c>
      <c r="H47" s="8">
        <v>43381271.756982036</v>
      </c>
      <c r="I47" s="8">
        <v>48654821.30821979</v>
      </c>
      <c r="J47" s="8">
        <v>38739457.738544144</v>
      </c>
      <c r="K47" s="8">
        <v>47857440.842545614</v>
      </c>
      <c r="L47" s="8">
        <v>39128974.601265982</v>
      </c>
      <c r="M47" s="9">
        <v>14741407.339633675</v>
      </c>
      <c r="N47" s="9">
        <v>16416854.152219336</v>
      </c>
      <c r="O47" s="7">
        <v>321242329.13528907</v>
      </c>
    </row>
    <row r="48" spans="2:15" ht="11.45" customHeight="1">
      <c r="B48" s="6" t="s">
        <v>58</v>
      </c>
      <c r="C48" s="7">
        <v>10279.054711246199</v>
      </c>
      <c r="D48" s="7">
        <v>739479.81864235038</v>
      </c>
      <c r="E48" s="8">
        <v>1881815.9655521782</v>
      </c>
      <c r="F48" s="8">
        <v>525822.10233029374</v>
      </c>
      <c r="G48" s="8">
        <v>3421649.2462006086</v>
      </c>
      <c r="H48" s="8">
        <v>9841749.198581554</v>
      </c>
      <c r="I48" s="8">
        <v>8012351.8459979733</v>
      </c>
      <c r="J48" s="8">
        <v>692204.6899696053</v>
      </c>
      <c r="K48" s="8">
        <v>6011686.4903758913</v>
      </c>
      <c r="L48" s="8">
        <v>6773296.2826747773</v>
      </c>
      <c r="M48" s="9">
        <v>1942397.2725430587</v>
      </c>
      <c r="N48" s="9">
        <v>795715.15501519793</v>
      </c>
      <c r="O48" s="7">
        <v>40648447.122594737</v>
      </c>
    </row>
    <row r="49" spans="2:15" ht="11.45" customHeight="1">
      <c r="B49" s="6" t="s">
        <v>59</v>
      </c>
      <c r="C49" s="7">
        <v>6777382.3421673626</v>
      </c>
      <c r="D49" s="7">
        <v>5903763.8953747377</v>
      </c>
      <c r="E49" s="8">
        <v>5312580.6516653094</v>
      </c>
      <c r="F49" s="8">
        <v>6564769.4282854348</v>
      </c>
      <c r="G49" s="8">
        <v>11737162.458974216</v>
      </c>
      <c r="H49" s="8">
        <v>16764615.525360566</v>
      </c>
      <c r="I49" s="8">
        <v>12368153.36350397</v>
      </c>
      <c r="J49" s="8">
        <v>10498413.829983288</v>
      </c>
      <c r="K49" s="8">
        <v>13034353.503397556</v>
      </c>
      <c r="L49" s="8">
        <v>18186752.219839249</v>
      </c>
      <c r="M49" s="9">
        <v>14386667.271527477</v>
      </c>
      <c r="N49" s="9">
        <v>9321606.8428186588</v>
      </c>
      <c r="O49" s="7">
        <v>130856221.33289783</v>
      </c>
    </row>
    <row r="50" spans="2:15" ht="11.45" customHeight="1">
      <c r="B50" s="6" t="s">
        <v>60</v>
      </c>
      <c r="C50" s="7">
        <v>165175993.578473</v>
      </c>
      <c r="D50" s="7">
        <v>152509044.25345847</v>
      </c>
      <c r="E50" s="8">
        <v>166542787.50497946</v>
      </c>
      <c r="F50" s="8">
        <v>144551021.04977649</v>
      </c>
      <c r="G50" s="8">
        <v>170897246.08323845</v>
      </c>
      <c r="H50" s="8">
        <v>194397862.27263498</v>
      </c>
      <c r="I50" s="8">
        <v>198944305.42746088</v>
      </c>
      <c r="J50" s="8">
        <v>160427350.73531049</v>
      </c>
      <c r="K50" s="8">
        <v>68735243.909618944</v>
      </c>
      <c r="L50" s="8">
        <v>173705096.49375075</v>
      </c>
      <c r="M50" s="9">
        <v>170302883.02349523</v>
      </c>
      <c r="N50" s="9">
        <v>171318808.87135679</v>
      </c>
      <c r="O50" s="7">
        <v>1937507643.2035539</v>
      </c>
    </row>
    <row r="51" spans="2:15" ht="11.45" customHeight="1">
      <c r="B51" s="6" t="s">
        <v>61</v>
      </c>
      <c r="C51" s="7">
        <v>12974156.380031148</v>
      </c>
      <c r="D51" s="7">
        <v>7562927.2316295821</v>
      </c>
      <c r="E51" s="8">
        <v>10944736.662059629</v>
      </c>
      <c r="F51" s="8">
        <v>11249888.316465894</v>
      </c>
      <c r="G51" s="8">
        <v>8099412.2846187884</v>
      </c>
      <c r="H51" s="8">
        <v>10899423.98442998</v>
      </c>
      <c r="I51" s="8">
        <v>19011831.218105834</v>
      </c>
      <c r="J51" s="8">
        <v>16189676.675838312</v>
      </c>
      <c r="K51" s="8">
        <v>11231386.55585251</v>
      </c>
      <c r="L51" s="8">
        <v>6251478.0232759584</v>
      </c>
      <c r="M51" s="9">
        <v>7120616.8454625318</v>
      </c>
      <c r="N51" s="9">
        <v>8062623.9115600884</v>
      </c>
      <c r="O51" s="7">
        <v>129598158.08933024</v>
      </c>
    </row>
    <row r="52" spans="2:15" ht="11.45" customHeight="1">
      <c r="B52" s="6" t="s">
        <v>62</v>
      </c>
      <c r="C52" s="7">
        <v>14868498.583228994</v>
      </c>
      <c r="D52" s="7">
        <v>12026466.056253904</v>
      </c>
      <c r="E52" s="8">
        <v>14876409.875697467</v>
      </c>
      <c r="F52" s="8">
        <v>16569259.89841165</v>
      </c>
      <c r="G52" s="8">
        <v>10705255.417888228</v>
      </c>
      <c r="H52" s="8">
        <v>11020192.011601716</v>
      </c>
      <c r="I52" s="8">
        <v>17939730.105781414</v>
      </c>
      <c r="J52" s="8">
        <v>15976684.293914091</v>
      </c>
      <c r="K52" s="8">
        <v>11704093.030510476</v>
      </c>
      <c r="L52" s="8">
        <v>9467920.6217681244</v>
      </c>
      <c r="M52" s="9">
        <v>9933015.4777426701</v>
      </c>
      <c r="N52" s="9">
        <v>10248452.765183253</v>
      </c>
      <c r="O52" s="7">
        <v>155335978.13798195</v>
      </c>
    </row>
    <row r="53" spans="2:15" ht="11.45" customHeight="1">
      <c r="B53" s="6" t="s">
        <v>63</v>
      </c>
      <c r="C53" s="7">
        <v>19242385.524789605</v>
      </c>
      <c r="D53" s="7">
        <v>11233191.711415114</v>
      </c>
      <c r="E53" s="8">
        <v>12246189.363914175</v>
      </c>
      <c r="F53" s="8">
        <v>12696227.346290395</v>
      </c>
      <c r="G53" s="8">
        <v>11650190.587653056</v>
      </c>
      <c r="H53" s="8">
        <v>15884525.716396919</v>
      </c>
      <c r="I53" s="8">
        <v>22627045.757879939</v>
      </c>
      <c r="J53" s="8">
        <v>16129522.464963317</v>
      </c>
      <c r="K53" s="8">
        <v>12339306.498897718</v>
      </c>
      <c r="L53" s="8">
        <v>8092428.7236528452</v>
      </c>
      <c r="M53" s="9">
        <v>7937114.4990260638</v>
      </c>
      <c r="N53" s="9">
        <v>12602035.136036666</v>
      </c>
      <c r="O53" s="7">
        <v>162680163.33091581</v>
      </c>
    </row>
    <row r="54" spans="2:15" ht="11.45" customHeight="1">
      <c r="B54" s="6" t="s">
        <v>64</v>
      </c>
      <c r="C54" s="7">
        <v>15353474.696881825</v>
      </c>
      <c r="D54" s="7">
        <v>8199740.3401689669</v>
      </c>
      <c r="E54" s="8">
        <v>9949145.5124078672</v>
      </c>
      <c r="F54" s="8">
        <v>9429267.994952485</v>
      </c>
      <c r="G54" s="8">
        <v>8278072.9762997488</v>
      </c>
      <c r="H54" s="8">
        <v>11833694.989799371</v>
      </c>
      <c r="I54" s="8">
        <v>16890865.902064446</v>
      </c>
      <c r="J54" s="8">
        <v>11700767.034090986</v>
      </c>
      <c r="K54" s="8">
        <v>7712012.4267492862</v>
      </c>
      <c r="L54" s="8">
        <v>5501836.6206450919</v>
      </c>
      <c r="M54" s="9">
        <v>6056987.8576849885</v>
      </c>
      <c r="N54" s="9">
        <v>9846699.2690341827</v>
      </c>
      <c r="O54" s="7">
        <v>120752565.62077923</v>
      </c>
    </row>
    <row r="55" spans="2:15" ht="11.45" customHeight="1">
      <c r="B55" s="6" t="s">
        <v>65</v>
      </c>
      <c r="C55" s="7">
        <v>21208530.744542662</v>
      </c>
      <c r="D55" s="7">
        <v>10527485.608313538</v>
      </c>
      <c r="E55" s="8">
        <v>13936540.9247844</v>
      </c>
      <c r="F55" s="8">
        <v>13271619.076252606</v>
      </c>
      <c r="G55" s="8">
        <v>10347002.589633482</v>
      </c>
      <c r="H55" s="8">
        <v>14075621.966880098</v>
      </c>
      <c r="I55" s="8">
        <v>18463620.167717565</v>
      </c>
      <c r="J55" s="8">
        <v>13368760.550809544</v>
      </c>
      <c r="K55" s="8">
        <v>8859072.277804628</v>
      </c>
      <c r="L55" s="8">
        <v>4661361.1323265992</v>
      </c>
      <c r="M55" s="9">
        <v>4632959.3425283264</v>
      </c>
      <c r="N55" s="9">
        <v>7425272.6414658073</v>
      </c>
      <c r="O55" s="7">
        <v>140777847.02305925</v>
      </c>
    </row>
    <row r="56" spans="2:15" ht="11.45" customHeight="1">
      <c r="B56" s="6" t="s">
        <v>66</v>
      </c>
      <c r="C56" s="7">
        <v>16187574.191725736</v>
      </c>
      <c r="D56" s="7">
        <v>9027824.5353989005</v>
      </c>
      <c r="E56" s="8">
        <v>11478266.806561634</v>
      </c>
      <c r="F56" s="8">
        <v>15770456.129620779</v>
      </c>
      <c r="G56" s="8">
        <v>11826876.148397436</v>
      </c>
      <c r="H56" s="8">
        <v>13556882.550122416</v>
      </c>
      <c r="I56" s="8">
        <v>21997144.138706189</v>
      </c>
      <c r="J56" s="8">
        <v>16474417.445835639</v>
      </c>
      <c r="K56" s="8">
        <v>12770217.43208899</v>
      </c>
      <c r="L56" s="8">
        <v>6216079.8528027162</v>
      </c>
      <c r="M56" s="9">
        <v>8067055.0106254611</v>
      </c>
      <c r="N56" s="9">
        <v>12888543.599611329</v>
      </c>
      <c r="O56" s="7">
        <v>156261337.84149724</v>
      </c>
    </row>
    <row r="57" spans="2:15" ht="11.45" customHeight="1">
      <c r="B57" s="6" t="s">
        <v>67</v>
      </c>
      <c r="C57" s="7">
        <v>14189379.02942903</v>
      </c>
      <c r="D57" s="7">
        <v>7427623.1485843668</v>
      </c>
      <c r="E57" s="8">
        <v>11174742.080057701</v>
      </c>
      <c r="F57" s="8">
        <v>12025789.571070185</v>
      </c>
      <c r="G57" s="8">
        <v>7965812.6806963142</v>
      </c>
      <c r="H57" s="8">
        <v>9879122.9132932648</v>
      </c>
      <c r="I57" s="8">
        <v>17147188.208834663</v>
      </c>
      <c r="J57" s="8">
        <v>14729930.225685939</v>
      </c>
      <c r="K57" s="8">
        <v>11435596.715855531</v>
      </c>
      <c r="L57" s="8">
        <v>4753598.679745378</v>
      </c>
      <c r="M57" s="9">
        <v>6108715.88265278</v>
      </c>
      <c r="N57" s="9">
        <v>9682309.5730756242</v>
      </c>
      <c r="O57" s="7">
        <v>126519808.70898075</v>
      </c>
    </row>
    <row r="58" spans="2:15" ht="11.45" customHeight="1">
      <c r="B58" s="6" t="s">
        <v>68</v>
      </c>
      <c r="C58" s="7">
        <v>10852426.359351162</v>
      </c>
      <c r="D58" s="7">
        <v>5923938.2406723201</v>
      </c>
      <c r="E58" s="8">
        <v>7689343.4205898931</v>
      </c>
      <c r="F58" s="8">
        <v>8397091.8290341236</v>
      </c>
      <c r="G58" s="8">
        <v>6140960.4684523456</v>
      </c>
      <c r="H58" s="8">
        <v>8397094.0974324103</v>
      </c>
      <c r="I58" s="8">
        <v>11689670.235914903</v>
      </c>
      <c r="J58" s="8">
        <v>10197233.082345085</v>
      </c>
      <c r="K58" s="8">
        <v>7547632.3654546244</v>
      </c>
      <c r="L58" s="8">
        <v>5299253.6852159752</v>
      </c>
      <c r="M58" s="9">
        <v>4420878.2951212255</v>
      </c>
      <c r="N58" s="9">
        <v>8527210.2329216395</v>
      </c>
      <c r="O58" s="7">
        <v>95082732.312505722</v>
      </c>
    </row>
    <row r="59" spans="2:15" ht="11.45" customHeight="1">
      <c r="B59" s="6" t="s">
        <v>69</v>
      </c>
      <c r="C59" s="7">
        <v>8351069.8305749018</v>
      </c>
      <c r="D59" s="7">
        <v>7849544.0143698175</v>
      </c>
      <c r="E59" s="8">
        <v>9228515.8547707293</v>
      </c>
      <c r="F59" s="8">
        <v>8559577.3280994371</v>
      </c>
      <c r="G59" s="8">
        <v>8086463.8526746761</v>
      </c>
      <c r="H59" s="8">
        <v>7912308.7865918986</v>
      </c>
      <c r="I59" s="8">
        <v>8423809.1428326033</v>
      </c>
      <c r="J59" s="8">
        <v>9148766.49039419</v>
      </c>
      <c r="K59" s="8">
        <v>8433853.4815017674</v>
      </c>
      <c r="L59" s="8">
        <v>8161557.2596937846</v>
      </c>
      <c r="M59" s="9">
        <v>5660833.8296663528</v>
      </c>
      <c r="N59" s="9">
        <v>7877318.5482437741</v>
      </c>
      <c r="O59" s="7">
        <v>97693618.419413939</v>
      </c>
    </row>
    <row r="60" spans="2:15" ht="11.45" customHeight="1">
      <c r="B60" s="6" t="s">
        <v>70</v>
      </c>
      <c r="C60" s="7">
        <v>13973873.133290121</v>
      </c>
      <c r="D60" s="7">
        <v>13042593.19846837</v>
      </c>
      <c r="E60" s="8">
        <v>17981104.017379526</v>
      </c>
      <c r="F60" s="10">
        <v>16212656.649178293</v>
      </c>
      <c r="G60" s="8">
        <v>16628239.028626338</v>
      </c>
      <c r="H60" s="8">
        <v>16578571.022266742</v>
      </c>
      <c r="I60" s="8">
        <v>17335023.873649891</v>
      </c>
      <c r="J60" s="8">
        <v>19365892.073509797</v>
      </c>
      <c r="K60" s="8">
        <v>16649112.749307889</v>
      </c>
      <c r="L60" s="8">
        <v>14353708.429107124</v>
      </c>
      <c r="M60" s="9">
        <v>11072138.419093771</v>
      </c>
      <c r="N60" s="9">
        <v>11872912.488931054</v>
      </c>
      <c r="O60" s="7">
        <v>185065825.08280894</v>
      </c>
    </row>
    <row r="61" spans="2:15" ht="11.45" customHeight="1">
      <c r="B61" s="6" t="s">
        <v>71</v>
      </c>
      <c r="C61" s="7"/>
      <c r="D61" s="7"/>
      <c r="E61" s="8"/>
      <c r="F61" s="10"/>
      <c r="G61" s="8"/>
      <c r="H61" s="8"/>
      <c r="I61" s="8"/>
      <c r="J61" s="8"/>
      <c r="K61" s="8"/>
      <c r="L61" s="8"/>
      <c r="M61" s="9">
        <v>677054.58681918692</v>
      </c>
      <c r="N61" s="9">
        <v>6928941.4582497152</v>
      </c>
      <c r="O61" s="7">
        <v>7605996.045068902</v>
      </c>
    </row>
    <row r="62" spans="2:15" ht="11.45" customHeight="1">
      <c r="B62" s="6" t="s">
        <v>72</v>
      </c>
      <c r="C62" s="7">
        <v>3408981.4414309803</v>
      </c>
      <c r="D62" s="7">
        <v>3112886.2956628674</v>
      </c>
      <c r="E62" s="8">
        <v>4034529.6177545153</v>
      </c>
      <c r="F62" s="10">
        <v>3822689.8944471884</v>
      </c>
      <c r="G62" s="8">
        <v>3670271.2914524749</v>
      </c>
      <c r="H62" s="8">
        <v>3774313.8245400316</v>
      </c>
      <c r="I62" s="8">
        <v>4012446.485331628</v>
      </c>
      <c r="J62" s="8">
        <v>2659380.5377474003</v>
      </c>
      <c r="K62" s="8">
        <v>3352047.7762066904</v>
      </c>
      <c r="L62" s="8">
        <v>3794670.6991241262</v>
      </c>
      <c r="M62" s="9">
        <v>2626130.2482675877</v>
      </c>
      <c r="N62" s="9">
        <v>3085564.3364480347</v>
      </c>
      <c r="O62" s="7">
        <v>41353912.448413529</v>
      </c>
    </row>
    <row r="63" spans="2:15" ht="11.45" customHeight="1">
      <c r="B63" s="6" t="s">
        <v>73</v>
      </c>
      <c r="C63" s="7">
        <v>7419675.7764535509</v>
      </c>
      <c r="D63" s="7">
        <v>7560085.1959837722</v>
      </c>
      <c r="E63" s="8">
        <v>8729328.8340852819</v>
      </c>
      <c r="F63" s="8">
        <v>6977065.2482398674</v>
      </c>
      <c r="G63" s="8">
        <v>7818375.315005064</v>
      </c>
      <c r="H63" s="8">
        <v>7355227.4558457574</v>
      </c>
      <c r="I63" s="8">
        <v>7519943.6747583887</v>
      </c>
      <c r="J63" s="8">
        <v>7860723.7550044535</v>
      </c>
      <c r="K63" s="8">
        <v>7782100.0429465175</v>
      </c>
      <c r="L63" s="8">
        <v>8103605.6782494513</v>
      </c>
      <c r="M63" s="9">
        <v>6177813.5017167386</v>
      </c>
      <c r="N63" s="9">
        <v>7311311.9605162339</v>
      </c>
      <c r="O63" s="7">
        <v>90615256.438805059</v>
      </c>
    </row>
    <row r="64" spans="2:15" ht="11.45" customHeight="1">
      <c r="B64" s="6" t="s">
        <v>74</v>
      </c>
      <c r="C64" s="7"/>
      <c r="D64" s="7"/>
      <c r="E64" s="8"/>
      <c r="F64" s="8"/>
      <c r="G64" s="8"/>
      <c r="H64" s="8"/>
      <c r="I64" s="8"/>
      <c r="J64" s="8"/>
      <c r="K64" s="8"/>
      <c r="L64" s="8"/>
      <c r="M64" s="9"/>
      <c r="N64" s="9">
        <v>5034118.1226587733</v>
      </c>
      <c r="O64" s="7">
        <v>5034118.1226587733</v>
      </c>
    </row>
    <row r="65" spans="2:15" ht="11.45" customHeight="1">
      <c r="B65" s="6" t="s">
        <v>75</v>
      </c>
      <c r="C65" s="7">
        <v>0</v>
      </c>
      <c r="D65" s="7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2714254.7011786192</v>
      </c>
      <c r="K65" s="8">
        <v>12643741.195938539</v>
      </c>
      <c r="L65" s="8">
        <v>11332655.482651068</v>
      </c>
      <c r="M65" s="9">
        <v>9054069.6273279842</v>
      </c>
      <c r="N65" s="9">
        <v>9955376.1806847062</v>
      </c>
      <c r="O65" s="7">
        <v>45700097.187780917</v>
      </c>
    </row>
    <row r="66" spans="2:15" ht="11.45" customHeight="1">
      <c r="B66" s="6" t="s">
        <v>76</v>
      </c>
      <c r="C66" s="7">
        <v>4511586.516913604</v>
      </c>
      <c r="D66" s="7">
        <v>4649681.1273773815</v>
      </c>
      <c r="E66" s="8">
        <v>5420980.2955612559</v>
      </c>
      <c r="F66" s="8">
        <v>5035754.429144254</v>
      </c>
      <c r="G66" s="8">
        <v>4951064.4570965143</v>
      </c>
      <c r="H66" s="8">
        <v>4678170.1675550239</v>
      </c>
      <c r="I66" s="8">
        <v>5067564.504761531</v>
      </c>
      <c r="J66" s="8">
        <v>6071447.7179255961</v>
      </c>
      <c r="K66" s="8">
        <v>5393996.1799511015</v>
      </c>
      <c r="L66" s="8">
        <v>5489825.9085502131</v>
      </c>
      <c r="M66" s="9">
        <v>3909012.5524193076</v>
      </c>
      <c r="N66" s="9">
        <v>4965691.1230456885</v>
      </c>
      <c r="O66" s="7">
        <v>60144774.980301462</v>
      </c>
    </row>
    <row r="67" spans="2:15" ht="11.45" customHeight="1">
      <c r="B67" s="1" t="s">
        <v>77</v>
      </c>
      <c r="C67" s="7">
        <v>9497097.6220814493</v>
      </c>
      <c r="D67" s="7">
        <v>9366258.4653645176</v>
      </c>
      <c r="E67" s="8">
        <v>11126391.436094483</v>
      </c>
      <c r="F67" s="8">
        <v>9619088.9658791088</v>
      </c>
      <c r="G67" s="8">
        <v>10495870.840572946</v>
      </c>
      <c r="H67" s="8">
        <v>9650583.6799540631</v>
      </c>
      <c r="I67" s="8">
        <v>9550916.9912123475</v>
      </c>
      <c r="J67" s="8">
        <v>9552159.2399646025</v>
      </c>
      <c r="K67" s="8">
        <v>9234265.2636476588</v>
      </c>
      <c r="L67" s="8">
        <v>10215870.954731705</v>
      </c>
      <c r="M67" s="9">
        <v>7671783.2108618636</v>
      </c>
      <c r="N67" s="9">
        <v>8649211.5849572439</v>
      </c>
      <c r="O67" s="7">
        <v>114629498.25532199</v>
      </c>
    </row>
    <row r="68" spans="2:15" ht="11.45" customHeight="1">
      <c r="B68" s="6" t="s">
        <v>78</v>
      </c>
      <c r="C68" s="7">
        <v>14691954.12152135</v>
      </c>
      <c r="D68" s="7">
        <v>16916475.26445936</v>
      </c>
      <c r="E68" s="8">
        <v>20193130.901843932</v>
      </c>
      <c r="F68" s="8">
        <v>20173337.233941127</v>
      </c>
      <c r="G68" s="8">
        <v>19404643.469079003</v>
      </c>
      <c r="H68" s="8">
        <v>17275434.65943563</v>
      </c>
      <c r="I68" s="8">
        <v>18388010.478157841</v>
      </c>
      <c r="J68" s="8">
        <v>20475332.316885881</v>
      </c>
      <c r="K68" s="8">
        <v>19070809.70472395</v>
      </c>
      <c r="L68" s="8">
        <v>18522243.734259374</v>
      </c>
      <c r="M68" s="9">
        <v>11502479.901769187</v>
      </c>
      <c r="N68" s="9">
        <v>15873204.404536344</v>
      </c>
      <c r="O68" s="7">
        <v>212487056.19061297</v>
      </c>
    </row>
    <row r="69" spans="2:15" ht="11.45" customHeight="1">
      <c r="B69" s="1" t="s">
        <v>79</v>
      </c>
      <c r="C69" s="7">
        <v>8315210.8877380174</v>
      </c>
      <c r="D69" s="7">
        <v>8534075.9374095015</v>
      </c>
      <c r="E69" s="8">
        <v>9735083.3442455996</v>
      </c>
      <c r="F69" s="8">
        <v>9535791.7682418264</v>
      </c>
      <c r="G69" s="8">
        <v>8939026.7488540374</v>
      </c>
      <c r="H69" s="8">
        <v>8179212.9744144566</v>
      </c>
      <c r="I69" s="8">
        <v>8475979.7893548142</v>
      </c>
      <c r="J69" s="8">
        <v>9614101.8166958317</v>
      </c>
      <c r="K69" s="8">
        <v>9366789.5985629447</v>
      </c>
      <c r="L69" s="8">
        <v>9495442.6237178072</v>
      </c>
      <c r="M69" s="9">
        <v>5998647.6746062757</v>
      </c>
      <c r="N69" s="9">
        <v>8050664.3372702887</v>
      </c>
      <c r="O69" s="7">
        <v>104240027.5011114</v>
      </c>
    </row>
    <row r="70" spans="2:15" ht="11.45" customHeight="1">
      <c r="B70" s="6" t="s">
        <v>80</v>
      </c>
      <c r="C70" s="7">
        <v>27572195.945426781</v>
      </c>
      <c r="D70" s="7">
        <v>22286494.386875842</v>
      </c>
      <c r="E70" s="8">
        <v>41589207.082126066</v>
      </c>
      <c r="F70" s="8">
        <v>37045440.329193592</v>
      </c>
      <c r="G70" s="8">
        <v>44900342.60565348</v>
      </c>
      <c r="H70" s="8">
        <v>69351817.8383037</v>
      </c>
      <c r="I70" s="8">
        <v>76756765.284522966</v>
      </c>
      <c r="J70" s="8">
        <v>74008122.74313435</v>
      </c>
      <c r="K70" s="8">
        <v>74456824.667447641</v>
      </c>
      <c r="L70" s="8">
        <v>74494625.039753988</v>
      </c>
      <c r="M70" s="9">
        <v>59367434.710969523</v>
      </c>
      <c r="N70" s="9">
        <v>40984041.858229354</v>
      </c>
      <c r="O70" s="7">
        <v>642813312.49163735</v>
      </c>
    </row>
    <row r="71" spans="2:15" ht="11.45" customHeight="1">
      <c r="B71" s="6" t="s">
        <v>81</v>
      </c>
      <c r="C71" s="7">
        <v>8640115.2046349421</v>
      </c>
      <c r="D71" s="7">
        <v>5793598.0369868092</v>
      </c>
      <c r="E71" s="8">
        <v>4430520.0008175829</v>
      </c>
      <c r="F71" s="8">
        <v>4615158.3701540027</v>
      </c>
      <c r="G71" s="8">
        <v>11294144.34823587</v>
      </c>
      <c r="H71" s="8">
        <v>7598653.694032453</v>
      </c>
      <c r="I71" s="8">
        <v>7737791.0538012516</v>
      </c>
      <c r="J71" s="8">
        <v>7791832.7481048554</v>
      </c>
      <c r="K71" s="8">
        <v>8122251.3294641497</v>
      </c>
      <c r="L71" s="8">
        <v>4827521.4150585765</v>
      </c>
      <c r="M71" s="9">
        <v>12317230.791957211</v>
      </c>
      <c r="N71" s="9">
        <v>7441577.225131264</v>
      </c>
      <c r="O71" s="7">
        <v>90610394.218378976</v>
      </c>
    </row>
    <row r="72" spans="2:15" ht="11.45" customHeight="1">
      <c r="B72" s="6" t="s">
        <v>82</v>
      </c>
      <c r="C72" s="7">
        <v>1047264.6799377662</v>
      </c>
      <c r="D72" s="7">
        <v>3307149.6372402241</v>
      </c>
      <c r="E72" s="8">
        <v>12619038.302923333</v>
      </c>
      <c r="F72" s="8">
        <v>10375297.678824669</v>
      </c>
      <c r="G72" s="8">
        <v>27721525.516824082</v>
      </c>
      <c r="H72" s="8">
        <v>63732624.641280644</v>
      </c>
      <c r="I72" s="8">
        <v>62554757.474645466</v>
      </c>
      <c r="J72" s="8">
        <v>16802317.705316953</v>
      </c>
      <c r="K72" s="8">
        <v>65982119.797436982</v>
      </c>
      <c r="L72" s="8">
        <v>66853935.997101605</v>
      </c>
      <c r="M72" s="9">
        <v>29906279.731808271</v>
      </c>
      <c r="N72" s="9">
        <v>13524320.733002298</v>
      </c>
      <c r="O72" s="7">
        <v>374426631.89634228</v>
      </c>
    </row>
    <row r="73" spans="2:15" ht="11.45" customHeight="1">
      <c r="B73" s="6" t="s">
        <v>83</v>
      </c>
      <c r="C73" s="7">
        <v>35514713.307371765</v>
      </c>
      <c r="D73" s="7">
        <v>42278833.634258859</v>
      </c>
      <c r="E73" s="8">
        <v>41192154.430068776</v>
      </c>
      <c r="F73" s="8">
        <v>46242518.341271698</v>
      </c>
      <c r="G73" s="8">
        <v>43360075.923317663</v>
      </c>
      <c r="H73" s="8">
        <v>38176439.237629861</v>
      </c>
      <c r="I73" s="8">
        <v>47478004.570595637</v>
      </c>
      <c r="J73" s="8">
        <v>47308898.462794416</v>
      </c>
      <c r="K73" s="8">
        <v>45084805.135889217</v>
      </c>
      <c r="L73" s="8">
        <v>49105160.020510793</v>
      </c>
      <c r="M73" s="9">
        <v>46962136.863959447</v>
      </c>
      <c r="N73" s="9">
        <v>43727541.181263968</v>
      </c>
      <c r="O73" s="7">
        <v>526431281.10893214</v>
      </c>
    </row>
    <row r="74" spans="2:15" ht="11.45" customHeight="1">
      <c r="B74" s="6" t="s">
        <v>84</v>
      </c>
      <c r="C74" s="7">
        <v>109297255.44523861</v>
      </c>
      <c r="D74" s="7">
        <v>109158901.80049604</v>
      </c>
      <c r="E74" s="8">
        <v>126164188.35760559</v>
      </c>
      <c r="F74" s="8">
        <v>106179687.23533428</v>
      </c>
      <c r="G74" s="8">
        <v>123485292.0826031</v>
      </c>
      <c r="H74" s="8">
        <v>130280729.2574861</v>
      </c>
      <c r="I74" s="8">
        <v>125631345.35274278</v>
      </c>
      <c r="J74" s="8">
        <v>126034994.91915753</v>
      </c>
      <c r="K74" s="8">
        <v>124792500.61445436</v>
      </c>
      <c r="L74" s="8">
        <v>124372303.93712273</v>
      </c>
      <c r="M74" s="9">
        <v>119936826.16303632</v>
      </c>
      <c r="N74" s="9">
        <v>119169635.64908814</v>
      </c>
      <c r="O74" s="7">
        <v>1444503660.8143656</v>
      </c>
    </row>
    <row r="75" spans="2:15" ht="11.45" customHeight="1">
      <c r="B75" s="6" t="s">
        <v>85</v>
      </c>
      <c r="C75" s="7">
        <v>1659658.1543128439</v>
      </c>
      <c r="D75" s="7">
        <v>1441235.795772725</v>
      </c>
      <c r="E75" s="8">
        <v>1008917.1580270767</v>
      </c>
      <c r="F75" s="8">
        <v>2616853.5064128442</v>
      </c>
      <c r="G75" s="8">
        <v>4503233.4638320822</v>
      </c>
      <c r="H75" s="8">
        <v>1836661.7073810911</v>
      </c>
      <c r="I75" s="8">
        <v>1765131.4554184845</v>
      </c>
      <c r="J75" s="8">
        <v>1562519.2065230908</v>
      </c>
      <c r="K75" s="8">
        <v>966816.45702627022</v>
      </c>
      <c r="L75" s="8">
        <v>588675.06550470751</v>
      </c>
      <c r="M75" s="9">
        <v>2130376.8028905275</v>
      </c>
      <c r="N75" s="9">
        <v>3014946.3111604792</v>
      </c>
      <c r="O75" s="7">
        <v>23095025.084262222</v>
      </c>
    </row>
    <row r="76" spans="2:15" ht="11.45" customHeight="1">
      <c r="B76" s="6" t="s">
        <v>86</v>
      </c>
      <c r="C76" s="7">
        <v>10357919.043345459</v>
      </c>
      <c r="D76" s="7">
        <v>6673655.8081735801</v>
      </c>
      <c r="E76" s="8">
        <v>5639591.8088585241</v>
      </c>
      <c r="F76" s="8">
        <v>8508805.5583681148</v>
      </c>
      <c r="G76" s="8">
        <v>13325993.101389349</v>
      </c>
      <c r="H76" s="8">
        <v>9081069.8368415497</v>
      </c>
      <c r="I76" s="8">
        <v>11204632.37956075</v>
      </c>
      <c r="J76" s="8">
        <v>9909223.5470635146</v>
      </c>
      <c r="K76" s="8">
        <v>9182045.254691476</v>
      </c>
      <c r="L76" s="8">
        <v>6971276.168261732</v>
      </c>
      <c r="M76" s="9">
        <v>12655730.437149614</v>
      </c>
      <c r="N76" s="9">
        <v>10145806.785645371</v>
      </c>
      <c r="O76" s="7">
        <v>113655749.72934905</v>
      </c>
    </row>
    <row r="77" spans="2:15" ht="11.45" customHeight="1">
      <c r="B77" s="6" t="s">
        <v>87</v>
      </c>
      <c r="C77" s="7"/>
      <c r="D77" s="7"/>
      <c r="E77" s="8"/>
      <c r="F77" s="8"/>
      <c r="G77" s="8"/>
      <c r="H77" s="8"/>
      <c r="I77" s="8">
        <v>0</v>
      </c>
      <c r="J77" s="8">
        <v>0</v>
      </c>
      <c r="K77" s="8">
        <v>0</v>
      </c>
      <c r="L77" s="8">
        <v>0</v>
      </c>
      <c r="M77" s="9">
        <v>0</v>
      </c>
      <c r="N77" s="9">
        <v>0</v>
      </c>
      <c r="O77" s="7">
        <v>0</v>
      </c>
    </row>
    <row r="78" spans="2:15" ht="11.45" customHeight="1">
      <c r="B78" s="6" t="s">
        <v>88</v>
      </c>
      <c r="C78" s="7">
        <v>104186.93467336673</v>
      </c>
      <c r="D78" s="7">
        <v>62966.834170854338</v>
      </c>
      <c r="E78" s="8">
        <v>4638.1909547738696</v>
      </c>
      <c r="F78" s="8">
        <v>0</v>
      </c>
      <c r="G78" s="8">
        <v>99274.371859297302</v>
      </c>
      <c r="H78" s="8">
        <v>3199.9999999998868</v>
      </c>
      <c r="I78" s="8">
        <v>3020.1005025124073</v>
      </c>
      <c r="J78" s="8">
        <v>0</v>
      </c>
      <c r="K78" s="8">
        <v>32.160804020099</v>
      </c>
      <c r="L78" s="8">
        <v>52052.261306532637</v>
      </c>
      <c r="M78" s="9">
        <v>150348.74371859257</v>
      </c>
      <c r="N78" s="9">
        <v>5608.0402010050238</v>
      </c>
      <c r="O78" s="7">
        <v>485327.63819095487</v>
      </c>
    </row>
    <row r="79" spans="2:15" ht="11.45" customHeight="1">
      <c r="B79" s="6" t="s">
        <v>89</v>
      </c>
      <c r="C79" s="7">
        <v>7618206.4312346978</v>
      </c>
      <c r="D79" s="7">
        <v>5772635.5839249855</v>
      </c>
      <c r="E79" s="8">
        <v>7892957.7205314785</v>
      </c>
      <c r="F79" s="8">
        <v>6652361.1942080455</v>
      </c>
      <c r="G79" s="8">
        <v>3262421.954929302</v>
      </c>
      <c r="H79" s="8">
        <v>6696915.7581211692</v>
      </c>
      <c r="I79" s="8">
        <v>6151656.650138312</v>
      </c>
      <c r="J79" s="8">
        <v>6634823.9489314705</v>
      </c>
      <c r="K79" s="8">
        <v>5533235.0236894321</v>
      </c>
      <c r="L79" s="8">
        <v>5364450.5879177395</v>
      </c>
      <c r="M79" s="9">
        <v>772706.27544225962</v>
      </c>
      <c r="N79" s="9">
        <v>8110170.7730066506</v>
      </c>
      <c r="O79" s="7">
        <v>70462541.902075544</v>
      </c>
    </row>
    <row r="80" spans="2:15" ht="11.45" customHeight="1">
      <c r="B80" s="6" t="s">
        <v>90</v>
      </c>
      <c r="C80" s="7">
        <v>3016322.5566619877</v>
      </c>
      <c r="D80" s="7">
        <v>1729304.2467264968</v>
      </c>
      <c r="E80" s="8">
        <v>1902144.7172679028</v>
      </c>
      <c r="F80" s="8">
        <v>1475504.942407114</v>
      </c>
      <c r="G80" s="8">
        <v>990215.12898214918</v>
      </c>
      <c r="H80" s="8">
        <v>2146197.5994118899</v>
      </c>
      <c r="I80" s="8">
        <v>2160017.0310590006</v>
      </c>
      <c r="J80" s="8">
        <v>1583911.8794416494</v>
      </c>
      <c r="K80" s="8">
        <v>2401802.280710259</v>
      </c>
      <c r="L80" s="8">
        <v>1887967.1666337342</v>
      </c>
      <c r="M80" s="9">
        <v>1676995.1915793102</v>
      </c>
      <c r="N80" s="9">
        <v>2885660.3505365215</v>
      </c>
      <c r="O80" s="7">
        <v>23856043.091418009</v>
      </c>
    </row>
    <row r="81" spans="1:16" ht="11.45" customHeight="1">
      <c r="B81" s="6" t="s">
        <v>91</v>
      </c>
      <c r="C81" s="7">
        <v>0</v>
      </c>
      <c r="D81" s="7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>
        <v>0</v>
      </c>
      <c r="N81" s="9">
        <v>0</v>
      </c>
      <c r="O81" s="7">
        <v>0</v>
      </c>
    </row>
    <row r="82" spans="1:16" ht="11.45" customHeight="1">
      <c r="B82" s="6" t="s">
        <v>92</v>
      </c>
      <c r="C82" s="7">
        <v>0</v>
      </c>
      <c r="D82" s="7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9">
        <v>0</v>
      </c>
      <c r="N82" s="9">
        <v>0</v>
      </c>
      <c r="O82" s="7">
        <v>0</v>
      </c>
    </row>
    <row r="83" spans="1:16" ht="11.45" customHeight="1">
      <c r="B83" s="6" t="s">
        <v>93</v>
      </c>
      <c r="C83" s="7">
        <v>19732909.958708245</v>
      </c>
      <c r="D83" s="7">
        <v>18323112.98185036</v>
      </c>
      <c r="E83" s="8">
        <v>19125934.098986197</v>
      </c>
      <c r="F83" s="8">
        <v>19099908.623155814</v>
      </c>
      <c r="G83" s="8">
        <v>19742581.253023803</v>
      </c>
      <c r="H83" s="8">
        <v>19118347.995135613</v>
      </c>
      <c r="I83" s="8">
        <v>16746767.656101245</v>
      </c>
      <c r="J83" s="8">
        <v>18344033.075772047</v>
      </c>
      <c r="K83" s="8">
        <v>18165403.664517496</v>
      </c>
      <c r="L83" s="8">
        <v>8970793.1053964235</v>
      </c>
      <c r="M83" s="9">
        <v>14348569.547602938</v>
      </c>
      <c r="N83" s="9">
        <v>19314338.250250183</v>
      </c>
      <c r="O83" s="7">
        <v>211032700.21050039</v>
      </c>
    </row>
    <row r="84" spans="1:16" ht="11.45" customHeight="1">
      <c r="B84" s="6" t="s">
        <v>94</v>
      </c>
      <c r="C84" s="7">
        <v>0</v>
      </c>
      <c r="D84" s="7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9">
        <v>0</v>
      </c>
      <c r="N84" s="9">
        <v>0</v>
      </c>
      <c r="O84" s="7">
        <v>0</v>
      </c>
    </row>
    <row r="85" spans="1:16" ht="11.45" customHeight="1">
      <c r="B85" s="6" t="s">
        <v>95</v>
      </c>
      <c r="C85" s="7">
        <v>110782.18604394422</v>
      </c>
      <c r="D85" s="7">
        <v>553914.47085744585</v>
      </c>
      <c r="E85" s="8">
        <v>17859456.389393687</v>
      </c>
      <c r="F85" s="8">
        <v>1274553.4864618883</v>
      </c>
      <c r="G85" s="8">
        <v>12437441.528474916</v>
      </c>
      <c r="H85" s="8">
        <v>48521638.135178298</v>
      </c>
      <c r="I85" s="8">
        <v>42158592.883875392</v>
      </c>
      <c r="J85" s="8">
        <v>39980527.871736072</v>
      </c>
      <c r="K85" s="8">
        <v>71696592.760729298</v>
      </c>
      <c r="L85" s="8">
        <v>54790624.021869369</v>
      </c>
      <c r="M85" s="9">
        <v>8081004.0309967231</v>
      </c>
      <c r="N85" s="9">
        <v>4537996.5603816416</v>
      </c>
      <c r="O85" s="7">
        <v>302003124.32599872</v>
      </c>
    </row>
    <row r="86" spans="1:16" ht="11.45" customHeight="1">
      <c r="B86" s="6" t="s">
        <v>96</v>
      </c>
      <c r="C86" s="7">
        <v>2859221.0160106001</v>
      </c>
      <c r="D86" s="7">
        <v>6312289.969697888</v>
      </c>
      <c r="E86" s="8">
        <v>12606559.44740822</v>
      </c>
      <c r="F86" s="8">
        <v>3015502.4004749595</v>
      </c>
      <c r="G86" s="8">
        <v>9790712.3461152427</v>
      </c>
      <c r="H86" s="8">
        <v>17192465.129203301</v>
      </c>
      <c r="I86" s="8">
        <v>15860973.516640112</v>
      </c>
      <c r="J86" s="8">
        <v>10154312.051613213</v>
      </c>
      <c r="K86" s="8">
        <v>21260987.748796105</v>
      </c>
      <c r="L86" s="8">
        <v>21018315.002330877</v>
      </c>
      <c r="M86" s="9">
        <v>9051151.8681067005</v>
      </c>
      <c r="N86" s="9">
        <v>4528301.2566441623</v>
      </c>
      <c r="O86" s="7">
        <v>133650791.75304136</v>
      </c>
    </row>
    <row r="87" spans="1:16" ht="11.45" customHeight="1">
      <c r="B87" s="6" t="s">
        <v>97</v>
      </c>
      <c r="C87" s="7">
        <v>11115140.648401879</v>
      </c>
      <c r="D87" s="7">
        <v>10805626.843728377</v>
      </c>
      <c r="E87" s="8">
        <v>11930964.436505126</v>
      </c>
      <c r="F87" s="8">
        <v>11197311.053547334</v>
      </c>
      <c r="G87" s="8">
        <v>44317095.058726579</v>
      </c>
      <c r="H87" s="8">
        <v>29843728.67123856</v>
      </c>
      <c r="I87" s="8">
        <v>15403330.459876943</v>
      </c>
      <c r="J87" s="8">
        <v>15308937.6212047</v>
      </c>
      <c r="K87" s="8">
        <v>11989982.414089356</v>
      </c>
      <c r="L87" s="8">
        <v>11062877.129044563</v>
      </c>
      <c r="M87" s="9">
        <v>11478188.997154705</v>
      </c>
      <c r="N87" s="9">
        <v>13983812.227317391</v>
      </c>
      <c r="O87" s="7">
        <v>198436995.56083551</v>
      </c>
    </row>
    <row r="88" spans="1:16" ht="11.45" customHeight="1">
      <c r="B88" s="6" t="s">
        <v>98</v>
      </c>
      <c r="C88" s="7">
        <v>3991632.1884694863</v>
      </c>
      <c r="D88" s="7">
        <v>3409924.4534740644</v>
      </c>
      <c r="E88" s="8">
        <v>3510477.0987379807</v>
      </c>
      <c r="F88" s="8">
        <v>3595078.7769540222</v>
      </c>
      <c r="G88" s="8">
        <v>3092407.960209508</v>
      </c>
      <c r="H88" s="8">
        <v>6730415.604506976</v>
      </c>
      <c r="I88" s="8">
        <v>6772559.375576471</v>
      </c>
      <c r="J88" s="8">
        <v>7818602.8680989612</v>
      </c>
      <c r="K88" s="8">
        <v>4684833.8445504643</v>
      </c>
      <c r="L88" s="8">
        <v>2872857.4257354671</v>
      </c>
      <c r="M88" s="9">
        <v>2724499.7296951776</v>
      </c>
      <c r="N88" s="9">
        <v>3210348.8133222414</v>
      </c>
      <c r="O88" s="7">
        <v>52413638.139330812</v>
      </c>
    </row>
    <row r="89" spans="1:16" ht="24.95" customHeight="1">
      <c r="B89" s="3" t="s">
        <v>99</v>
      </c>
      <c r="C89" s="12">
        <f t="shared" ref="C89:N89" si="0">SUM(C8:C88)</f>
        <v>1804153934.9930482</v>
      </c>
      <c r="D89" s="12">
        <f t="shared" si="0"/>
        <v>1648609212.1627324</v>
      </c>
      <c r="E89" s="12">
        <f t="shared" si="0"/>
        <v>1882451232.2280149</v>
      </c>
      <c r="F89" s="12">
        <f t="shared" si="0"/>
        <v>1874317572.6304178</v>
      </c>
      <c r="G89" s="12">
        <f t="shared" si="0"/>
        <v>2058981889.8850131</v>
      </c>
      <c r="H89" s="12">
        <f t="shared" si="0"/>
        <v>2117260135.955122</v>
      </c>
      <c r="I89" s="12">
        <f t="shared" si="0"/>
        <v>2175582464.9322615</v>
      </c>
      <c r="J89" s="12">
        <f t="shared" si="0"/>
        <v>2269654116.1641102</v>
      </c>
      <c r="K89" s="12">
        <f t="shared" si="0"/>
        <v>2177096389.2476406</v>
      </c>
      <c r="L89" s="12">
        <f t="shared" si="0"/>
        <v>2270668980.5568838</v>
      </c>
      <c r="M89" s="12">
        <f t="shared" si="0"/>
        <v>1853272289.6736953</v>
      </c>
      <c r="N89" s="12">
        <f t="shared" si="0"/>
        <v>1888481783.1034105</v>
      </c>
      <c r="O89" s="12">
        <f>SUM(O8:O88)</f>
        <v>24020530001.532356</v>
      </c>
      <c r="P89" s="13"/>
    </row>
    <row r="90" spans="1:16" ht="5.0999999999999996" customHeight="1"/>
    <row r="91" spans="1:16" ht="14.45">
      <c r="A91"/>
      <c r="B91" s="16" t="s">
        <v>100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1:16" ht="14.45">
      <c r="A92"/>
      <c r="B92" s="16" t="s">
        <v>101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1:16" ht="14.45">
      <c r="A93"/>
      <c r="H93" s="14"/>
      <c r="J93" s="13"/>
    </row>
    <row r="94" spans="1:16" ht="14.45">
      <c r="A94"/>
      <c r="B94" s="1" t="s">
        <v>102</v>
      </c>
      <c r="C94" s="7">
        <f>C89-'[1]BD - Inyecciones Brutas'!K120</f>
        <v>0</v>
      </c>
      <c r="D94" s="7">
        <f>D89-'[1]BD - Inyecciones Brutas'!L120</f>
        <v>0</v>
      </c>
      <c r="E94" s="7">
        <f>E89-'[1]BD - Inyecciones Brutas'!M120</f>
        <v>0</v>
      </c>
      <c r="F94" s="7">
        <f>F89-'[1]BD - Inyecciones Brutas'!N120</f>
        <v>0</v>
      </c>
      <c r="G94" s="7">
        <f>G89-'[1]BD - Inyecciones Brutas'!O120</f>
        <v>0</v>
      </c>
      <c r="H94" s="7">
        <f>H89-'[1]BD - Inyecciones Brutas'!P120</f>
        <v>0</v>
      </c>
      <c r="I94" s="7">
        <f>I89-'[1]BD - Inyecciones Brutas'!Q120</f>
        <v>0</v>
      </c>
      <c r="J94" s="7">
        <f>J89-'[1]BD - Inyecciones Brutas'!R120</f>
        <v>0</v>
      </c>
      <c r="K94" s="7">
        <f>K89-'[1]BD - Inyecciones Brutas'!S120</f>
        <v>0</v>
      </c>
      <c r="L94" s="7">
        <f>L89-'[1]BD - Inyecciones Brutas'!T120</f>
        <v>0</v>
      </c>
      <c r="M94" s="7">
        <f>M89-'[1]BD - Inyecciones Brutas'!U120</f>
        <v>0</v>
      </c>
      <c r="N94" s="7">
        <f>N89-'[1]BD - Inyecciones Brutas'!V120</f>
        <v>0</v>
      </c>
      <c r="O94" s="7">
        <f>O89-'[1]BD - Inyecciones Brutas'!W120</f>
        <v>0</v>
      </c>
    </row>
    <row r="95" spans="1:16" ht="14.45">
      <c r="A95"/>
    </row>
    <row r="96" spans="1:16" ht="14.45">
      <c r="A96"/>
    </row>
    <row r="97" spans="1:1" ht="14.45">
      <c r="A97"/>
    </row>
    <row r="98" spans="1:1" ht="14.45">
      <c r="A98"/>
    </row>
    <row r="99" spans="1:1" ht="14.45">
      <c r="A99"/>
    </row>
    <row r="100" spans="1:1" ht="14.45">
      <c r="A100"/>
    </row>
    <row r="101" spans="1:1" ht="14.45">
      <c r="A101"/>
    </row>
    <row r="102" spans="1:1" ht="14.45">
      <c r="A102"/>
    </row>
    <row r="103" spans="1:1" ht="14.45">
      <c r="A103"/>
    </row>
    <row r="104" spans="1:1" ht="14.45">
      <c r="A104"/>
    </row>
    <row r="105" spans="1:1" ht="14.45">
      <c r="A105"/>
    </row>
    <row r="106" spans="1:1" ht="14.45">
      <c r="A106"/>
    </row>
    <row r="107" spans="1:1" ht="14.45">
      <c r="A107"/>
    </row>
    <row r="108" spans="1:1" ht="14.45">
      <c r="A108"/>
    </row>
    <row r="109" spans="1:1" ht="14.45">
      <c r="A109"/>
    </row>
    <row r="181" spans="2:2">
      <c r="B181" s="6"/>
    </row>
    <row r="186" spans="2:2">
      <c r="B186" s="6"/>
    </row>
    <row r="188" spans="2:2">
      <c r="B188" s="6"/>
    </row>
  </sheetData>
  <mergeCells count="6">
    <mergeCell ref="B92:O92"/>
    <mergeCell ref="B2:O2"/>
    <mergeCell ref="B3:O3"/>
    <mergeCell ref="B4:O4"/>
    <mergeCell ref="B5:O5"/>
    <mergeCell ref="B91:O9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586B-54A1-4560-B076-19E711D18EA9}">
  <sheetPr>
    <tabColor theme="6" tint="0.59999389629810485"/>
  </sheetPr>
  <dimension ref="B2:O98"/>
  <sheetViews>
    <sheetView showGridLines="0" tabSelected="1" zoomScaleNormal="100" workbookViewId="0">
      <selection activeCell="C8" sqref="C8:O88"/>
    </sheetView>
  </sheetViews>
  <sheetFormatPr defaultColWidth="11.5703125" defaultRowHeight="10.9"/>
  <cols>
    <col min="1" max="1" width="11.5703125" style="1"/>
    <col min="2" max="2" width="31.28515625" style="1" bestFit="1" customWidth="1"/>
    <col min="3" max="3" width="14.140625" style="1" bestFit="1" customWidth="1"/>
    <col min="4" max="4" width="13.85546875" style="1" bestFit="1" customWidth="1"/>
    <col min="5" max="5" width="14.140625" style="1" bestFit="1" customWidth="1"/>
    <col min="6" max="6" width="13.42578125" style="1" bestFit="1" customWidth="1"/>
    <col min="7" max="7" width="14.140625" style="1" bestFit="1" customWidth="1"/>
    <col min="8" max="9" width="13.85546875" style="1" bestFit="1" customWidth="1"/>
    <col min="10" max="10" width="13.28515625" style="1" bestFit="1" customWidth="1"/>
    <col min="11" max="11" width="14.5703125" style="1" bestFit="1" customWidth="1"/>
    <col min="12" max="12" width="14.140625" style="1" bestFit="1" customWidth="1"/>
    <col min="13" max="14" width="13.85546875" style="1" bestFit="1" customWidth="1"/>
    <col min="15" max="15" width="14.85546875" style="1" bestFit="1" customWidth="1"/>
    <col min="16" max="16" width="12.85546875" style="1" bestFit="1" customWidth="1"/>
    <col min="17" max="17" width="12" style="1" bestFit="1" customWidth="1"/>
    <col min="18" max="255" width="11.5703125" style="1"/>
    <col min="256" max="256" width="33.7109375" style="1" customWidth="1"/>
    <col min="257" max="269" width="16.7109375" style="1" customWidth="1"/>
    <col min="270" max="270" width="11.5703125" style="1"/>
    <col min="271" max="271" width="14.42578125" style="1" bestFit="1" customWidth="1"/>
    <col min="272" max="511" width="11.5703125" style="1"/>
    <col min="512" max="512" width="33.7109375" style="1" customWidth="1"/>
    <col min="513" max="525" width="16.7109375" style="1" customWidth="1"/>
    <col min="526" max="526" width="11.5703125" style="1"/>
    <col min="527" max="527" width="14.42578125" style="1" bestFit="1" customWidth="1"/>
    <col min="528" max="767" width="11.5703125" style="1"/>
    <col min="768" max="768" width="33.7109375" style="1" customWidth="1"/>
    <col min="769" max="781" width="16.7109375" style="1" customWidth="1"/>
    <col min="782" max="782" width="11.5703125" style="1"/>
    <col min="783" max="783" width="14.42578125" style="1" bestFit="1" customWidth="1"/>
    <col min="784" max="1023" width="11.5703125" style="1"/>
    <col min="1024" max="1024" width="33.7109375" style="1" customWidth="1"/>
    <col min="1025" max="1037" width="16.7109375" style="1" customWidth="1"/>
    <col min="1038" max="1038" width="11.5703125" style="1"/>
    <col min="1039" max="1039" width="14.42578125" style="1" bestFit="1" customWidth="1"/>
    <col min="1040" max="1279" width="11.5703125" style="1"/>
    <col min="1280" max="1280" width="33.7109375" style="1" customWidth="1"/>
    <col min="1281" max="1293" width="16.7109375" style="1" customWidth="1"/>
    <col min="1294" max="1294" width="11.5703125" style="1"/>
    <col min="1295" max="1295" width="14.42578125" style="1" bestFit="1" customWidth="1"/>
    <col min="1296" max="1535" width="11.5703125" style="1"/>
    <col min="1536" max="1536" width="33.7109375" style="1" customWidth="1"/>
    <col min="1537" max="1549" width="16.7109375" style="1" customWidth="1"/>
    <col min="1550" max="1550" width="11.5703125" style="1"/>
    <col min="1551" max="1551" width="14.42578125" style="1" bestFit="1" customWidth="1"/>
    <col min="1552" max="1791" width="11.5703125" style="1"/>
    <col min="1792" max="1792" width="33.7109375" style="1" customWidth="1"/>
    <col min="1793" max="1805" width="16.7109375" style="1" customWidth="1"/>
    <col min="1806" max="1806" width="11.5703125" style="1"/>
    <col min="1807" max="1807" width="14.42578125" style="1" bestFit="1" customWidth="1"/>
    <col min="1808" max="2047" width="11.5703125" style="1"/>
    <col min="2048" max="2048" width="33.7109375" style="1" customWidth="1"/>
    <col min="2049" max="2061" width="16.7109375" style="1" customWidth="1"/>
    <col min="2062" max="2062" width="11.5703125" style="1"/>
    <col min="2063" max="2063" width="14.42578125" style="1" bestFit="1" customWidth="1"/>
    <col min="2064" max="2303" width="11.5703125" style="1"/>
    <col min="2304" max="2304" width="33.7109375" style="1" customWidth="1"/>
    <col min="2305" max="2317" width="16.7109375" style="1" customWidth="1"/>
    <col min="2318" max="2318" width="11.5703125" style="1"/>
    <col min="2319" max="2319" width="14.42578125" style="1" bestFit="1" customWidth="1"/>
    <col min="2320" max="2559" width="11.5703125" style="1"/>
    <col min="2560" max="2560" width="33.7109375" style="1" customWidth="1"/>
    <col min="2561" max="2573" width="16.7109375" style="1" customWidth="1"/>
    <col min="2574" max="2574" width="11.5703125" style="1"/>
    <col min="2575" max="2575" width="14.42578125" style="1" bestFit="1" customWidth="1"/>
    <col min="2576" max="2815" width="11.5703125" style="1"/>
    <col min="2816" max="2816" width="33.7109375" style="1" customWidth="1"/>
    <col min="2817" max="2829" width="16.7109375" style="1" customWidth="1"/>
    <col min="2830" max="2830" width="11.5703125" style="1"/>
    <col min="2831" max="2831" width="14.42578125" style="1" bestFit="1" customWidth="1"/>
    <col min="2832" max="3071" width="11.5703125" style="1"/>
    <col min="3072" max="3072" width="33.7109375" style="1" customWidth="1"/>
    <col min="3073" max="3085" width="16.7109375" style="1" customWidth="1"/>
    <col min="3086" max="3086" width="11.5703125" style="1"/>
    <col min="3087" max="3087" width="14.42578125" style="1" bestFit="1" customWidth="1"/>
    <col min="3088" max="3327" width="11.5703125" style="1"/>
    <col min="3328" max="3328" width="33.7109375" style="1" customWidth="1"/>
    <col min="3329" max="3341" width="16.7109375" style="1" customWidth="1"/>
    <col min="3342" max="3342" width="11.5703125" style="1"/>
    <col min="3343" max="3343" width="14.42578125" style="1" bestFit="1" customWidth="1"/>
    <col min="3344" max="3583" width="11.5703125" style="1"/>
    <col min="3584" max="3584" width="33.7109375" style="1" customWidth="1"/>
    <col min="3585" max="3597" width="16.7109375" style="1" customWidth="1"/>
    <col min="3598" max="3598" width="11.5703125" style="1"/>
    <col min="3599" max="3599" width="14.42578125" style="1" bestFit="1" customWidth="1"/>
    <col min="3600" max="3839" width="11.5703125" style="1"/>
    <col min="3840" max="3840" width="33.7109375" style="1" customWidth="1"/>
    <col min="3841" max="3853" width="16.7109375" style="1" customWidth="1"/>
    <col min="3854" max="3854" width="11.5703125" style="1"/>
    <col min="3855" max="3855" width="14.42578125" style="1" bestFit="1" customWidth="1"/>
    <col min="3856" max="4095" width="11.5703125" style="1"/>
    <col min="4096" max="4096" width="33.7109375" style="1" customWidth="1"/>
    <col min="4097" max="4109" width="16.7109375" style="1" customWidth="1"/>
    <col min="4110" max="4110" width="11.5703125" style="1"/>
    <col min="4111" max="4111" width="14.42578125" style="1" bestFit="1" customWidth="1"/>
    <col min="4112" max="4351" width="11.5703125" style="1"/>
    <col min="4352" max="4352" width="33.7109375" style="1" customWidth="1"/>
    <col min="4353" max="4365" width="16.7109375" style="1" customWidth="1"/>
    <col min="4366" max="4366" width="11.5703125" style="1"/>
    <col min="4367" max="4367" width="14.42578125" style="1" bestFit="1" customWidth="1"/>
    <col min="4368" max="4607" width="11.5703125" style="1"/>
    <col min="4608" max="4608" width="33.7109375" style="1" customWidth="1"/>
    <col min="4609" max="4621" width="16.7109375" style="1" customWidth="1"/>
    <col min="4622" max="4622" width="11.5703125" style="1"/>
    <col min="4623" max="4623" width="14.42578125" style="1" bestFit="1" customWidth="1"/>
    <col min="4624" max="4863" width="11.5703125" style="1"/>
    <col min="4864" max="4864" width="33.7109375" style="1" customWidth="1"/>
    <col min="4865" max="4877" width="16.7109375" style="1" customWidth="1"/>
    <col min="4878" max="4878" width="11.5703125" style="1"/>
    <col min="4879" max="4879" width="14.42578125" style="1" bestFit="1" customWidth="1"/>
    <col min="4880" max="5119" width="11.5703125" style="1"/>
    <col min="5120" max="5120" width="33.7109375" style="1" customWidth="1"/>
    <col min="5121" max="5133" width="16.7109375" style="1" customWidth="1"/>
    <col min="5134" max="5134" width="11.5703125" style="1"/>
    <col min="5135" max="5135" width="14.42578125" style="1" bestFit="1" customWidth="1"/>
    <col min="5136" max="5375" width="11.5703125" style="1"/>
    <col min="5376" max="5376" width="33.7109375" style="1" customWidth="1"/>
    <col min="5377" max="5389" width="16.7109375" style="1" customWidth="1"/>
    <col min="5390" max="5390" width="11.5703125" style="1"/>
    <col min="5391" max="5391" width="14.42578125" style="1" bestFit="1" customWidth="1"/>
    <col min="5392" max="5631" width="11.5703125" style="1"/>
    <col min="5632" max="5632" width="33.7109375" style="1" customWidth="1"/>
    <col min="5633" max="5645" width="16.7109375" style="1" customWidth="1"/>
    <col min="5646" max="5646" width="11.5703125" style="1"/>
    <col min="5647" max="5647" width="14.42578125" style="1" bestFit="1" customWidth="1"/>
    <col min="5648" max="5887" width="11.5703125" style="1"/>
    <col min="5888" max="5888" width="33.7109375" style="1" customWidth="1"/>
    <col min="5889" max="5901" width="16.7109375" style="1" customWidth="1"/>
    <col min="5902" max="5902" width="11.5703125" style="1"/>
    <col min="5903" max="5903" width="14.42578125" style="1" bestFit="1" customWidth="1"/>
    <col min="5904" max="6143" width="11.5703125" style="1"/>
    <col min="6144" max="6144" width="33.7109375" style="1" customWidth="1"/>
    <col min="6145" max="6157" width="16.7109375" style="1" customWidth="1"/>
    <col min="6158" max="6158" width="11.5703125" style="1"/>
    <col min="6159" max="6159" width="14.42578125" style="1" bestFit="1" customWidth="1"/>
    <col min="6160" max="6399" width="11.5703125" style="1"/>
    <col min="6400" max="6400" width="33.7109375" style="1" customWidth="1"/>
    <col min="6401" max="6413" width="16.7109375" style="1" customWidth="1"/>
    <col min="6414" max="6414" width="11.5703125" style="1"/>
    <col min="6415" max="6415" width="14.42578125" style="1" bestFit="1" customWidth="1"/>
    <col min="6416" max="6655" width="11.5703125" style="1"/>
    <col min="6656" max="6656" width="33.7109375" style="1" customWidth="1"/>
    <col min="6657" max="6669" width="16.7109375" style="1" customWidth="1"/>
    <col min="6670" max="6670" width="11.5703125" style="1"/>
    <col min="6671" max="6671" width="14.42578125" style="1" bestFit="1" customWidth="1"/>
    <col min="6672" max="6911" width="11.5703125" style="1"/>
    <col min="6912" max="6912" width="33.7109375" style="1" customWidth="1"/>
    <col min="6913" max="6925" width="16.7109375" style="1" customWidth="1"/>
    <col min="6926" max="6926" width="11.5703125" style="1"/>
    <col min="6927" max="6927" width="14.42578125" style="1" bestFit="1" customWidth="1"/>
    <col min="6928" max="7167" width="11.5703125" style="1"/>
    <col min="7168" max="7168" width="33.7109375" style="1" customWidth="1"/>
    <col min="7169" max="7181" width="16.7109375" style="1" customWidth="1"/>
    <col min="7182" max="7182" width="11.5703125" style="1"/>
    <col min="7183" max="7183" width="14.42578125" style="1" bestFit="1" customWidth="1"/>
    <col min="7184" max="7423" width="11.5703125" style="1"/>
    <col min="7424" max="7424" width="33.7109375" style="1" customWidth="1"/>
    <col min="7425" max="7437" width="16.7109375" style="1" customWidth="1"/>
    <col min="7438" max="7438" width="11.5703125" style="1"/>
    <col min="7439" max="7439" width="14.42578125" style="1" bestFit="1" customWidth="1"/>
    <col min="7440" max="7679" width="11.5703125" style="1"/>
    <col min="7680" max="7680" width="33.7109375" style="1" customWidth="1"/>
    <col min="7681" max="7693" width="16.7109375" style="1" customWidth="1"/>
    <col min="7694" max="7694" width="11.5703125" style="1"/>
    <col min="7695" max="7695" width="14.42578125" style="1" bestFit="1" customWidth="1"/>
    <col min="7696" max="7935" width="11.5703125" style="1"/>
    <col min="7936" max="7936" width="33.7109375" style="1" customWidth="1"/>
    <col min="7937" max="7949" width="16.7109375" style="1" customWidth="1"/>
    <col min="7950" max="7950" width="11.5703125" style="1"/>
    <col min="7951" max="7951" width="14.42578125" style="1" bestFit="1" customWidth="1"/>
    <col min="7952" max="8191" width="11.5703125" style="1"/>
    <col min="8192" max="8192" width="33.7109375" style="1" customWidth="1"/>
    <col min="8193" max="8205" width="16.7109375" style="1" customWidth="1"/>
    <col min="8206" max="8206" width="11.5703125" style="1"/>
    <col min="8207" max="8207" width="14.42578125" style="1" bestFit="1" customWidth="1"/>
    <col min="8208" max="8447" width="11.5703125" style="1"/>
    <col min="8448" max="8448" width="33.7109375" style="1" customWidth="1"/>
    <col min="8449" max="8461" width="16.7109375" style="1" customWidth="1"/>
    <col min="8462" max="8462" width="11.5703125" style="1"/>
    <col min="8463" max="8463" width="14.42578125" style="1" bestFit="1" customWidth="1"/>
    <col min="8464" max="8703" width="11.5703125" style="1"/>
    <col min="8704" max="8704" width="33.7109375" style="1" customWidth="1"/>
    <col min="8705" max="8717" width="16.7109375" style="1" customWidth="1"/>
    <col min="8718" max="8718" width="11.5703125" style="1"/>
    <col min="8719" max="8719" width="14.42578125" style="1" bestFit="1" customWidth="1"/>
    <col min="8720" max="8959" width="11.5703125" style="1"/>
    <col min="8960" max="8960" width="33.7109375" style="1" customWidth="1"/>
    <col min="8961" max="8973" width="16.7109375" style="1" customWidth="1"/>
    <col min="8974" max="8974" width="11.5703125" style="1"/>
    <col min="8975" max="8975" width="14.42578125" style="1" bestFit="1" customWidth="1"/>
    <col min="8976" max="9215" width="11.5703125" style="1"/>
    <col min="9216" max="9216" width="33.7109375" style="1" customWidth="1"/>
    <col min="9217" max="9229" width="16.7109375" style="1" customWidth="1"/>
    <col min="9230" max="9230" width="11.5703125" style="1"/>
    <col min="9231" max="9231" width="14.42578125" style="1" bestFit="1" customWidth="1"/>
    <col min="9232" max="9471" width="11.5703125" style="1"/>
    <col min="9472" max="9472" width="33.7109375" style="1" customWidth="1"/>
    <col min="9473" max="9485" width="16.7109375" style="1" customWidth="1"/>
    <col min="9486" max="9486" width="11.5703125" style="1"/>
    <col min="9487" max="9487" width="14.42578125" style="1" bestFit="1" customWidth="1"/>
    <col min="9488" max="9727" width="11.5703125" style="1"/>
    <col min="9728" max="9728" width="33.7109375" style="1" customWidth="1"/>
    <col min="9729" max="9741" width="16.7109375" style="1" customWidth="1"/>
    <col min="9742" max="9742" width="11.5703125" style="1"/>
    <col min="9743" max="9743" width="14.42578125" style="1" bestFit="1" customWidth="1"/>
    <col min="9744" max="9983" width="11.5703125" style="1"/>
    <col min="9984" max="9984" width="33.7109375" style="1" customWidth="1"/>
    <col min="9985" max="9997" width="16.7109375" style="1" customWidth="1"/>
    <col min="9998" max="9998" width="11.5703125" style="1"/>
    <col min="9999" max="9999" width="14.42578125" style="1" bestFit="1" customWidth="1"/>
    <col min="10000" max="10239" width="11.5703125" style="1"/>
    <col min="10240" max="10240" width="33.7109375" style="1" customWidth="1"/>
    <col min="10241" max="10253" width="16.7109375" style="1" customWidth="1"/>
    <col min="10254" max="10254" width="11.5703125" style="1"/>
    <col min="10255" max="10255" width="14.42578125" style="1" bestFit="1" customWidth="1"/>
    <col min="10256" max="10495" width="11.5703125" style="1"/>
    <col min="10496" max="10496" width="33.7109375" style="1" customWidth="1"/>
    <col min="10497" max="10509" width="16.7109375" style="1" customWidth="1"/>
    <col min="10510" max="10510" width="11.5703125" style="1"/>
    <col min="10511" max="10511" width="14.42578125" style="1" bestFit="1" customWidth="1"/>
    <col min="10512" max="10751" width="11.5703125" style="1"/>
    <col min="10752" max="10752" width="33.7109375" style="1" customWidth="1"/>
    <col min="10753" max="10765" width="16.7109375" style="1" customWidth="1"/>
    <col min="10766" max="10766" width="11.5703125" style="1"/>
    <col min="10767" max="10767" width="14.42578125" style="1" bestFit="1" customWidth="1"/>
    <col min="10768" max="11007" width="11.5703125" style="1"/>
    <col min="11008" max="11008" width="33.7109375" style="1" customWidth="1"/>
    <col min="11009" max="11021" width="16.7109375" style="1" customWidth="1"/>
    <col min="11022" max="11022" width="11.5703125" style="1"/>
    <col min="11023" max="11023" width="14.42578125" style="1" bestFit="1" customWidth="1"/>
    <col min="11024" max="11263" width="11.5703125" style="1"/>
    <col min="11264" max="11264" width="33.7109375" style="1" customWidth="1"/>
    <col min="11265" max="11277" width="16.7109375" style="1" customWidth="1"/>
    <col min="11278" max="11278" width="11.5703125" style="1"/>
    <col min="11279" max="11279" width="14.42578125" style="1" bestFit="1" customWidth="1"/>
    <col min="11280" max="11519" width="11.5703125" style="1"/>
    <col min="11520" max="11520" width="33.7109375" style="1" customWidth="1"/>
    <col min="11521" max="11533" width="16.7109375" style="1" customWidth="1"/>
    <col min="11534" max="11534" width="11.5703125" style="1"/>
    <col min="11535" max="11535" width="14.42578125" style="1" bestFit="1" customWidth="1"/>
    <col min="11536" max="11775" width="11.5703125" style="1"/>
    <col min="11776" max="11776" width="33.7109375" style="1" customWidth="1"/>
    <col min="11777" max="11789" width="16.7109375" style="1" customWidth="1"/>
    <col min="11790" max="11790" width="11.5703125" style="1"/>
    <col min="11791" max="11791" width="14.42578125" style="1" bestFit="1" customWidth="1"/>
    <col min="11792" max="12031" width="11.5703125" style="1"/>
    <col min="12032" max="12032" width="33.7109375" style="1" customWidth="1"/>
    <col min="12033" max="12045" width="16.7109375" style="1" customWidth="1"/>
    <col min="12046" max="12046" width="11.5703125" style="1"/>
    <col min="12047" max="12047" width="14.42578125" style="1" bestFit="1" customWidth="1"/>
    <col min="12048" max="12287" width="11.5703125" style="1"/>
    <col min="12288" max="12288" width="33.7109375" style="1" customWidth="1"/>
    <col min="12289" max="12301" width="16.7109375" style="1" customWidth="1"/>
    <col min="12302" max="12302" width="11.5703125" style="1"/>
    <col min="12303" max="12303" width="14.42578125" style="1" bestFit="1" customWidth="1"/>
    <col min="12304" max="12543" width="11.5703125" style="1"/>
    <col min="12544" max="12544" width="33.7109375" style="1" customWidth="1"/>
    <col min="12545" max="12557" width="16.7109375" style="1" customWidth="1"/>
    <col min="12558" max="12558" width="11.5703125" style="1"/>
    <col min="12559" max="12559" width="14.42578125" style="1" bestFit="1" customWidth="1"/>
    <col min="12560" max="12799" width="11.5703125" style="1"/>
    <col min="12800" max="12800" width="33.7109375" style="1" customWidth="1"/>
    <col min="12801" max="12813" width="16.7109375" style="1" customWidth="1"/>
    <col min="12814" max="12814" width="11.5703125" style="1"/>
    <col min="12815" max="12815" width="14.42578125" style="1" bestFit="1" customWidth="1"/>
    <col min="12816" max="13055" width="11.5703125" style="1"/>
    <col min="13056" max="13056" width="33.7109375" style="1" customWidth="1"/>
    <col min="13057" max="13069" width="16.7109375" style="1" customWidth="1"/>
    <col min="13070" max="13070" width="11.5703125" style="1"/>
    <col min="13071" max="13071" width="14.42578125" style="1" bestFit="1" customWidth="1"/>
    <col min="13072" max="13311" width="11.5703125" style="1"/>
    <col min="13312" max="13312" width="33.7109375" style="1" customWidth="1"/>
    <col min="13313" max="13325" width="16.7109375" style="1" customWidth="1"/>
    <col min="13326" max="13326" width="11.5703125" style="1"/>
    <col min="13327" max="13327" width="14.42578125" style="1" bestFit="1" customWidth="1"/>
    <col min="13328" max="13567" width="11.5703125" style="1"/>
    <col min="13568" max="13568" width="33.7109375" style="1" customWidth="1"/>
    <col min="13569" max="13581" width="16.7109375" style="1" customWidth="1"/>
    <col min="13582" max="13582" width="11.5703125" style="1"/>
    <col min="13583" max="13583" width="14.42578125" style="1" bestFit="1" customWidth="1"/>
    <col min="13584" max="13823" width="11.5703125" style="1"/>
    <col min="13824" max="13824" width="33.7109375" style="1" customWidth="1"/>
    <col min="13825" max="13837" width="16.7109375" style="1" customWidth="1"/>
    <col min="13838" max="13838" width="11.5703125" style="1"/>
    <col min="13839" max="13839" width="14.42578125" style="1" bestFit="1" customWidth="1"/>
    <col min="13840" max="14079" width="11.5703125" style="1"/>
    <col min="14080" max="14080" width="33.7109375" style="1" customWidth="1"/>
    <col min="14081" max="14093" width="16.7109375" style="1" customWidth="1"/>
    <col min="14094" max="14094" width="11.5703125" style="1"/>
    <col min="14095" max="14095" width="14.42578125" style="1" bestFit="1" customWidth="1"/>
    <col min="14096" max="14335" width="11.5703125" style="1"/>
    <col min="14336" max="14336" width="33.7109375" style="1" customWidth="1"/>
    <col min="14337" max="14349" width="16.7109375" style="1" customWidth="1"/>
    <col min="14350" max="14350" width="11.5703125" style="1"/>
    <col min="14351" max="14351" width="14.42578125" style="1" bestFit="1" customWidth="1"/>
    <col min="14352" max="14591" width="11.5703125" style="1"/>
    <col min="14592" max="14592" width="33.7109375" style="1" customWidth="1"/>
    <col min="14593" max="14605" width="16.7109375" style="1" customWidth="1"/>
    <col min="14606" max="14606" width="11.5703125" style="1"/>
    <col min="14607" max="14607" width="14.42578125" style="1" bestFit="1" customWidth="1"/>
    <col min="14608" max="14847" width="11.5703125" style="1"/>
    <col min="14848" max="14848" width="33.7109375" style="1" customWidth="1"/>
    <col min="14849" max="14861" width="16.7109375" style="1" customWidth="1"/>
    <col min="14862" max="14862" width="11.5703125" style="1"/>
    <col min="14863" max="14863" width="14.42578125" style="1" bestFit="1" customWidth="1"/>
    <col min="14864" max="15103" width="11.5703125" style="1"/>
    <col min="15104" max="15104" width="33.7109375" style="1" customWidth="1"/>
    <col min="15105" max="15117" width="16.7109375" style="1" customWidth="1"/>
    <col min="15118" max="15118" width="11.5703125" style="1"/>
    <col min="15119" max="15119" width="14.42578125" style="1" bestFit="1" customWidth="1"/>
    <col min="15120" max="15359" width="11.5703125" style="1"/>
    <col min="15360" max="15360" width="33.7109375" style="1" customWidth="1"/>
    <col min="15361" max="15373" width="16.7109375" style="1" customWidth="1"/>
    <col min="15374" max="15374" width="11.5703125" style="1"/>
    <col min="15375" max="15375" width="14.42578125" style="1" bestFit="1" customWidth="1"/>
    <col min="15376" max="15615" width="11.5703125" style="1"/>
    <col min="15616" max="15616" width="33.7109375" style="1" customWidth="1"/>
    <col min="15617" max="15629" width="16.7109375" style="1" customWidth="1"/>
    <col min="15630" max="15630" width="11.5703125" style="1"/>
    <col min="15631" max="15631" width="14.42578125" style="1" bestFit="1" customWidth="1"/>
    <col min="15632" max="15871" width="11.5703125" style="1"/>
    <col min="15872" max="15872" width="33.7109375" style="1" customWidth="1"/>
    <col min="15873" max="15885" width="16.7109375" style="1" customWidth="1"/>
    <col min="15886" max="15886" width="11.5703125" style="1"/>
    <col min="15887" max="15887" width="14.42578125" style="1" bestFit="1" customWidth="1"/>
    <col min="15888" max="16127" width="11.5703125" style="1"/>
    <col min="16128" max="16128" width="33.7109375" style="1" customWidth="1"/>
    <col min="16129" max="16141" width="16.7109375" style="1" customWidth="1"/>
    <col min="16142" max="16142" width="11.5703125" style="1"/>
    <col min="16143" max="16143" width="14.42578125" style="1" bestFit="1" customWidth="1"/>
    <col min="16144" max="16384" width="11.5703125" style="1"/>
  </cols>
  <sheetData>
    <row r="2" spans="2:1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2:15">
      <c r="B3" s="17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2:15">
      <c r="B4" s="17" t="s">
        <v>103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2:1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2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5" ht="24.95" customHeight="1"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5" t="s">
        <v>17</v>
      </c>
    </row>
    <row r="8" spans="2:15" ht="11.45" customHeight="1">
      <c r="B8" s="6" t="s">
        <v>18</v>
      </c>
      <c r="C8" s="8">
        <v>3215816.5014491957</v>
      </c>
      <c r="D8" s="8">
        <v>4982915.031382178</v>
      </c>
      <c r="E8" s="8">
        <v>5793014.0053188875</v>
      </c>
      <c r="F8" s="8">
        <v>4872705.4502850287</v>
      </c>
      <c r="G8" s="8">
        <v>4751248.5203778557</v>
      </c>
      <c r="H8" s="8">
        <v>4261841.8269379651</v>
      </c>
      <c r="I8" s="8">
        <v>5599109.849821873</v>
      </c>
      <c r="J8" s="8">
        <v>5731998.4158475595</v>
      </c>
      <c r="K8" s="8">
        <v>5531258.3570546964</v>
      </c>
      <c r="L8" s="8">
        <v>5934173.6927311188</v>
      </c>
      <c r="M8" s="8">
        <v>5173202.6981441453</v>
      </c>
      <c r="N8" s="8">
        <v>4004042.5316731767</v>
      </c>
      <c r="O8" s="7">
        <v>59851326.881023683</v>
      </c>
    </row>
    <row r="9" spans="2:15" ht="11.45" customHeight="1">
      <c r="B9" s="6" t="s">
        <v>19</v>
      </c>
      <c r="C9" s="8">
        <v>85537.819951139565</v>
      </c>
      <c r="D9" s="8">
        <v>84021.200501250205</v>
      </c>
      <c r="E9" s="8">
        <v>57445.05635308208</v>
      </c>
      <c r="F9" s="8">
        <v>61436.672322725266</v>
      </c>
      <c r="G9" s="8">
        <v>94492.6555836958</v>
      </c>
      <c r="H9" s="8">
        <v>85220.841086448781</v>
      </c>
      <c r="I9" s="8">
        <v>112084.14459172037</v>
      </c>
      <c r="J9" s="8">
        <v>99089.796324033785</v>
      </c>
      <c r="K9" s="8">
        <v>79900.165601990593</v>
      </c>
      <c r="L9" s="8">
        <v>69001.662999639098</v>
      </c>
      <c r="M9" s="8">
        <v>48551.157063600978</v>
      </c>
      <c r="N9" s="8">
        <v>79933.095409328147</v>
      </c>
      <c r="O9" s="7">
        <v>956714.26778865454</v>
      </c>
    </row>
    <row r="10" spans="2:15" ht="11.45" customHeight="1">
      <c r="B10" s="6" t="s">
        <v>20</v>
      </c>
      <c r="C10" s="8">
        <v>779.52763819095719</v>
      </c>
      <c r="D10" s="8">
        <v>489.65829145728634</v>
      </c>
      <c r="E10" s="8">
        <v>508.42713567839075</v>
      </c>
      <c r="F10" s="8">
        <v>642.54271356783704</v>
      </c>
      <c r="G10" s="8">
        <v>698.29648241205928</v>
      </c>
      <c r="H10" s="8">
        <v>546.3618090452261</v>
      </c>
      <c r="I10" s="8">
        <v>606.24120603015115</v>
      </c>
      <c r="J10" s="8">
        <v>533.56783919597876</v>
      </c>
      <c r="K10" s="8">
        <v>496.52261306532637</v>
      </c>
      <c r="L10" s="8">
        <v>399.16582914572717</v>
      </c>
      <c r="M10" s="8">
        <v>654.90452261306586</v>
      </c>
      <c r="N10" s="8">
        <v>660.381909547737</v>
      </c>
      <c r="O10" s="7">
        <v>7015.5979899497415</v>
      </c>
    </row>
    <row r="11" spans="2:15" ht="11.45" customHeight="1">
      <c r="B11" s="6" t="s">
        <v>21</v>
      </c>
      <c r="C11" s="8">
        <v>797.02512562813911</v>
      </c>
      <c r="D11" s="8">
        <v>452.22110552763849</v>
      </c>
      <c r="E11" s="8">
        <v>543.72361809045242</v>
      </c>
      <c r="F11" s="8">
        <v>1441.2763819095476</v>
      </c>
      <c r="G11" s="8">
        <v>1790.8693467336666</v>
      </c>
      <c r="H11" s="8">
        <v>1312.718592964824</v>
      </c>
      <c r="I11" s="8">
        <v>594.78391959798887</v>
      </c>
      <c r="J11" s="8">
        <v>331.34673366834045</v>
      </c>
      <c r="K11" s="8">
        <v>227.48743718592871</v>
      </c>
      <c r="L11" s="8">
        <v>410.5979899497483</v>
      </c>
      <c r="M11" s="8">
        <v>1138.5527638190949</v>
      </c>
      <c r="N11" s="8">
        <v>972.50251256281194</v>
      </c>
      <c r="O11" s="7">
        <v>10013.105527638181</v>
      </c>
    </row>
    <row r="12" spans="2:15" ht="11.45" customHeight="1">
      <c r="B12" s="6" t="s">
        <v>22</v>
      </c>
      <c r="C12" s="8">
        <v>2041437.5284280933</v>
      </c>
      <c r="D12" s="8">
        <v>1641470.8824010005</v>
      </c>
      <c r="E12" s="8">
        <v>1495916.2871260713</v>
      </c>
      <c r="F12" s="8">
        <v>1624347.0034067568</v>
      </c>
      <c r="G12" s="8">
        <v>2075700.2441032652</v>
      </c>
      <c r="H12" s="8">
        <v>2185030.3951143138</v>
      </c>
      <c r="I12" s="8">
        <v>2392959.5571895116</v>
      </c>
      <c r="J12" s="8">
        <v>2469790.3105507041</v>
      </c>
      <c r="K12" s="8">
        <v>2459930.5811758866</v>
      </c>
      <c r="L12" s="8">
        <v>2150464.5100718131</v>
      </c>
      <c r="M12" s="8">
        <v>1382308.8162737885</v>
      </c>
      <c r="N12" s="8">
        <v>904162.9402999481</v>
      </c>
      <c r="O12" s="7">
        <v>22823519.056141153</v>
      </c>
    </row>
    <row r="13" spans="2:15" ht="11.45" customHeight="1">
      <c r="B13" s="6" t="s">
        <v>23</v>
      </c>
      <c r="C13" s="8">
        <v>0</v>
      </c>
      <c r="D13" s="8">
        <v>0</v>
      </c>
      <c r="E13" s="8">
        <v>4554.3740600874326</v>
      </c>
      <c r="F13" s="8">
        <v>0</v>
      </c>
      <c r="G13" s="8">
        <v>12910.339943701854</v>
      </c>
      <c r="H13" s="8">
        <v>46442.28701742737</v>
      </c>
      <c r="I13" s="8">
        <v>42226.637196443997</v>
      </c>
      <c r="J13" s="8">
        <v>2828.7978233470117</v>
      </c>
      <c r="K13" s="8">
        <v>37262.95635469952</v>
      </c>
      <c r="L13" s="8">
        <v>30844.66271234176</v>
      </c>
      <c r="M13" s="8">
        <v>6264.6844189776666</v>
      </c>
      <c r="N13" s="8">
        <v>4613.140753374385</v>
      </c>
      <c r="O13" s="7">
        <v>187947.880280401</v>
      </c>
    </row>
    <row r="14" spans="2:15" ht="11.45" customHeight="1">
      <c r="B14" s="6" t="s">
        <v>24</v>
      </c>
      <c r="C14" s="8">
        <v>2854.9584813691795</v>
      </c>
      <c r="D14" s="8">
        <v>2351.9589009183478</v>
      </c>
      <c r="E14" s="8">
        <v>2563.4614115614659</v>
      </c>
      <c r="F14" s="8">
        <v>2804.7613147181605</v>
      </c>
      <c r="G14" s="8">
        <v>3137.8566336909689</v>
      </c>
      <c r="H14" s="8">
        <v>3927.9591622124472</v>
      </c>
      <c r="I14" s="8">
        <v>2765.2309859013799</v>
      </c>
      <c r="J14" s="8">
        <v>2332.1030871006401</v>
      </c>
      <c r="K14" s="8">
        <v>2858.2122296590346</v>
      </c>
      <c r="L14" s="8">
        <v>2671.8029680124873</v>
      </c>
      <c r="M14" s="8">
        <v>979.91741350236816</v>
      </c>
      <c r="N14" s="8">
        <v>3.1610468950543997</v>
      </c>
      <c r="O14" s="7">
        <v>29251.38363554153</v>
      </c>
    </row>
    <row r="15" spans="2:15" ht="11.45" customHeight="1">
      <c r="B15" s="6" t="s">
        <v>25</v>
      </c>
      <c r="C15" s="8">
        <v>18635.482887661998</v>
      </c>
      <c r="D15" s="8">
        <v>17533.051024382698</v>
      </c>
      <c r="E15" s="8">
        <v>19788.266408450738</v>
      </c>
      <c r="F15" s="8">
        <v>18166.069950781708</v>
      </c>
      <c r="G15" s="8">
        <v>17384.809833834504</v>
      </c>
      <c r="H15" s="8">
        <v>16742.51699042735</v>
      </c>
      <c r="I15" s="8">
        <v>17981.793261725958</v>
      </c>
      <c r="J15" s="8">
        <v>19924.041861119618</v>
      </c>
      <c r="K15" s="8">
        <v>18793.969034074213</v>
      </c>
      <c r="L15" s="8">
        <v>18314.567534466776</v>
      </c>
      <c r="M15" s="8">
        <v>12569.55193738731</v>
      </c>
      <c r="N15" s="8">
        <v>17708.634806245605</v>
      </c>
      <c r="O15" s="7">
        <v>213542.75553055844</v>
      </c>
    </row>
    <row r="16" spans="2:15" ht="11.45" customHeight="1">
      <c r="B16" s="6" t="s">
        <v>26</v>
      </c>
      <c r="C16" s="8">
        <v>28239579.742221542</v>
      </c>
      <c r="D16" s="8">
        <v>24084297.987046853</v>
      </c>
      <c r="E16" s="8">
        <v>24561137.45290767</v>
      </c>
      <c r="F16" s="8">
        <v>31181474.388986785</v>
      </c>
      <c r="G16" s="8">
        <v>30648487.180287495</v>
      </c>
      <c r="H16" s="8">
        <v>18670045.616569076</v>
      </c>
      <c r="I16" s="8">
        <v>20088755.709553327</v>
      </c>
      <c r="J16" s="8">
        <v>32056506.279781483</v>
      </c>
      <c r="K16" s="8">
        <v>26823609.590576477</v>
      </c>
      <c r="L16" s="8">
        <v>31088913.294485152</v>
      </c>
      <c r="M16" s="8">
        <v>30282777.566056751</v>
      </c>
      <c r="N16" s="8">
        <v>30575910.434582718</v>
      </c>
      <c r="O16" s="7">
        <v>328301495.24305534</v>
      </c>
    </row>
    <row r="17" spans="2:15" ht="11.45" customHeight="1">
      <c r="B17" s="6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7">
        <v>0</v>
      </c>
    </row>
    <row r="18" spans="2:15" ht="11.45" customHeight="1">
      <c r="B18" s="6" t="s">
        <v>28</v>
      </c>
      <c r="C18" s="8">
        <v>4005165.3524532011</v>
      </c>
      <c r="D18" s="8">
        <v>3917182.1671865187</v>
      </c>
      <c r="E18" s="8">
        <v>2931514.4740856858</v>
      </c>
      <c r="F18" s="8">
        <v>4215390.0747172693</v>
      </c>
      <c r="G18" s="8">
        <v>4250145.1900282148</v>
      </c>
      <c r="H18" s="8">
        <v>4311450.535363025</v>
      </c>
      <c r="I18" s="8">
        <v>4147216.6766973035</v>
      </c>
      <c r="J18" s="8">
        <v>4494335.3174825013</v>
      </c>
      <c r="K18" s="8">
        <v>4568134.5767956059</v>
      </c>
      <c r="L18" s="8">
        <v>4475118.664784953</v>
      </c>
      <c r="M18" s="8">
        <v>3941228.1736269938</v>
      </c>
      <c r="N18" s="8">
        <v>4109688.0546790073</v>
      </c>
      <c r="O18" s="7">
        <v>49366569.257900275</v>
      </c>
    </row>
    <row r="19" spans="2:15" ht="11.45" customHeight="1">
      <c r="B19" s="6" t="s">
        <v>29</v>
      </c>
      <c r="C19" s="8">
        <v>11175.984256803822</v>
      </c>
      <c r="D19" s="8">
        <v>11536.846428608022</v>
      </c>
      <c r="E19" s="8">
        <v>14118.819760928494</v>
      </c>
      <c r="F19" s="8">
        <v>13283.561801863003</v>
      </c>
      <c r="G19" s="8">
        <v>13066.959845659632</v>
      </c>
      <c r="H19" s="8">
        <v>12471.002504585029</v>
      </c>
      <c r="I19" s="8">
        <v>12726.979216853282</v>
      </c>
      <c r="J19" s="8">
        <v>13603.129795008988</v>
      </c>
      <c r="K19" s="8">
        <v>12415.071586105025</v>
      </c>
      <c r="L19" s="8">
        <v>11774.086306416244</v>
      </c>
      <c r="M19" s="8">
        <v>8794.0297033817369</v>
      </c>
      <c r="N19" s="8">
        <v>9773.5439484812869</v>
      </c>
      <c r="O19" s="7">
        <v>144740.01515469459</v>
      </c>
    </row>
    <row r="20" spans="2:15" ht="11.45" customHeight="1">
      <c r="B20" s="6" t="s">
        <v>30</v>
      </c>
      <c r="C20" s="8">
        <v>6361.2931751993428</v>
      </c>
      <c r="D20" s="8">
        <v>6912.6269509579324</v>
      </c>
      <c r="E20" s="8">
        <v>8303.6820956179363</v>
      </c>
      <c r="F20" s="8">
        <v>7864.6211972193487</v>
      </c>
      <c r="G20" s="8">
        <v>7626.7688209656344</v>
      </c>
      <c r="H20" s="8">
        <v>7313.4980999723475</v>
      </c>
      <c r="I20" s="8">
        <v>7364.0655612184073</v>
      </c>
      <c r="J20" s="8">
        <v>7956.598708653506</v>
      </c>
      <c r="K20" s="8">
        <v>7457.3810317083162</v>
      </c>
      <c r="L20" s="8">
        <v>6855.9926902997086</v>
      </c>
      <c r="M20" s="8">
        <v>4765.9387186982322</v>
      </c>
      <c r="N20" s="8">
        <v>5810.9537372468394</v>
      </c>
      <c r="O20" s="7">
        <v>84593.420787757539</v>
      </c>
    </row>
    <row r="21" spans="2:15" ht="11.45" customHeight="1">
      <c r="B21" s="6" t="s">
        <v>31</v>
      </c>
      <c r="C21" s="8">
        <v>7808.8786692907524</v>
      </c>
      <c r="D21" s="8">
        <v>3117.0099456288967</v>
      </c>
      <c r="E21" s="8">
        <v>3626.2870646424662</v>
      </c>
      <c r="F21" s="8">
        <v>2904.8988902114361</v>
      </c>
      <c r="G21" s="8">
        <v>1248.2609287013606</v>
      </c>
      <c r="H21" s="8">
        <v>2785.7028179981903</v>
      </c>
      <c r="I21" s="8">
        <v>4492.0944183386346</v>
      </c>
      <c r="J21" s="8">
        <v>5759.6328609243346</v>
      </c>
      <c r="K21" s="8">
        <v>7230.3836876740934</v>
      </c>
      <c r="L21" s="8">
        <v>5651.7095253442139</v>
      </c>
      <c r="M21" s="8">
        <v>4328.4139254977399</v>
      </c>
      <c r="N21" s="8">
        <v>6990.4596044717764</v>
      </c>
      <c r="O21" s="7">
        <v>55943.732338723901</v>
      </c>
    </row>
    <row r="22" spans="2:15" ht="11.45" customHeight="1">
      <c r="B22" s="6" t="s">
        <v>32</v>
      </c>
      <c r="C22" s="8">
        <v>464.07537688442181</v>
      </c>
      <c r="D22" s="8">
        <v>336.16582914572967</v>
      </c>
      <c r="E22" s="8">
        <v>304.24120603015132</v>
      </c>
      <c r="F22" s="8">
        <v>480.83919597989939</v>
      </c>
      <c r="G22" s="8">
        <v>929.81909547738633</v>
      </c>
      <c r="H22" s="8">
        <v>999.63316582914638</v>
      </c>
      <c r="I22" s="8">
        <v>700.43718592964592</v>
      </c>
      <c r="J22" s="8">
        <v>471.6432160804012</v>
      </c>
      <c r="K22" s="8">
        <v>0</v>
      </c>
      <c r="L22" s="8">
        <v>0</v>
      </c>
      <c r="M22" s="8">
        <v>0</v>
      </c>
      <c r="N22" s="8">
        <v>0</v>
      </c>
      <c r="O22" s="7">
        <v>4686.8542713567822</v>
      </c>
    </row>
    <row r="23" spans="2:15" ht="11.45" customHeight="1">
      <c r="B23" s="6" t="s">
        <v>33</v>
      </c>
      <c r="C23" s="8">
        <v>704548.99653102364</v>
      </c>
      <c r="D23" s="8">
        <v>573387.03552539274</v>
      </c>
      <c r="E23" s="8">
        <v>861344.44488374179</v>
      </c>
      <c r="F23" s="8">
        <v>550028.19760846731</v>
      </c>
      <c r="G23" s="8">
        <v>794092.19194887893</v>
      </c>
      <c r="H23" s="8">
        <v>1326980.0400374585</v>
      </c>
      <c r="I23" s="8">
        <v>1367922.7408569665</v>
      </c>
      <c r="J23" s="8">
        <v>1233244.1816102252</v>
      </c>
      <c r="K23" s="8">
        <v>1393826.1687659465</v>
      </c>
      <c r="L23" s="8">
        <v>1587604.01974463</v>
      </c>
      <c r="M23" s="8">
        <v>1321423.3053519777</v>
      </c>
      <c r="N23" s="8">
        <v>1109076.8523846476</v>
      </c>
      <c r="O23" s="7">
        <v>12823478.175249357</v>
      </c>
    </row>
    <row r="24" spans="2:15" ht="11.45" customHeight="1">
      <c r="B24" s="1" t="s">
        <v>34</v>
      </c>
      <c r="C24" s="8">
        <v>2202774.9733470548</v>
      </c>
      <c r="D24" s="8">
        <v>2093167.8464743467</v>
      </c>
      <c r="E24" s="8">
        <v>2314023.801862041</v>
      </c>
      <c r="F24" s="8">
        <v>2312273.4267473673</v>
      </c>
      <c r="G24" s="8">
        <v>2332941.3654175233</v>
      </c>
      <c r="H24" s="8">
        <v>2492988.4948392417</v>
      </c>
      <c r="I24" s="8">
        <v>1579276.9024885988</v>
      </c>
      <c r="J24" s="8">
        <v>2407507.8810145976</v>
      </c>
      <c r="K24" s="8">
        <v>2370781.5580468555</v>
      </c>
      <c r="L24" s="8">
        <v>2510419.2758240961</v>
      </c>
      <c r="M24" s="8">
        <v>1929120.0196298356</v>
      </c>
      <c r="N24" s="8">
        <v>2132129.6126911719</v>
      </c>
      <c r="O24" s="7">
        <v>26677405.158382729</v>
      </c>
    </row>
    <row r="25" spans="2:15" ht="11.45" customHeight="1">
      <c r="B25" s="6" t="s">
        <v>35</v>
      </c>
      <c r="C25" s="8">
        <v>0</v>
      </c>
      <c r="D25" s="8">
        <v>4402.518211031128</v>
      </c>
      <c r="E25" s="8">
        <v>0</v>
      </c>
      <c r="F25" s="8">
        <v>0</v>
      </c>
      <c r="G25" s="8">
        <v>42686.610176176619</v>
      </c>
      <c r="H25" s="8">
        <v>203838.5289187007</v>
      </c>
      <c r="I25" s="8">
        <v>0</v>
      </c>
      <c r="J25" s="8">
        <v>0</v>
      </c>
      <c r="K25" s="8">
        <v>1845.8164764288601</v>
      </c>
      <c r="L25" s="8">
        <v>81138.070900148115</v>
      </c>
      <c r="M25" s="8">
        <v>1.51546391817E-3</v>
      </c>
      <c r="N25" s="8">
        <v>0</v>
      </c>
      <c r="O25" s="7">
        <v>333911.54619794933</v>
      </c>
    </row>
    <row r="26" spans="2:15" ht="11.45" customHeight="1">
      <c r="B26" s="6" t="s">
        <v>36</v>
      </c>
      <c r="C26" s="8">
        <v>34513.232772457872</v>
      </c>
      <c r="D26" s="8">
        <v>28080.682325054218</v>
      </c>
      <c r="E26" s="8">
        <v>26674.26023410639</v>
      </c>
      <c r="F26" s="8">
        <v>20622.583721612871</v>
      </c>
      <c r="G26" s="8">
        <v>45646.05096191755</v>
      </c>
      <c r="H26" s="8">
        <v>35992.913723017082</v>
      </c>
      <c r="I26" s="8">
        <v>32088.889664221562</v>
      </c>
      <c r="J26" s="8">
        <v>30821.078335594113</v>
      </c>
      <c r="K26" s="8">
        <v>30950.358042185831</v>
      </c>
      <c r="L26" s="8">
        <v>18672.707083858684</v>
      </c>
      <c r="M26" s="8">
        <v>17620.070190747592</v>
      </c>
      <c r="N26" s="8">
        <v>26411.099445149834</v>
      </c>
      <c r="O26" s="7">
        <v>348093.92649992357</v>
      </c>
    </row>
    <row r="27" spans="2:15" ht="11.45" customHeight="1">
      <c r="B27" s="6" t="s">
        <v>37</v>
      </c>
      <c r="C27" s="8">
        <v>1008.7916241278912</v>
      </c>
      <c r="D27" s="8">
        <v>5727.577355142781</v>
      </c>
      <c r="E27" s="8">
        <v>10653.178185384855</v>
      </c>
      <c r="F27" s="8">
        <v>0</v>
      </c>
      <c r="G27" s="8">
        <v>15495.857120569734</v>
      </c>
      <c r="H27" s="8">
        <v>64707.274774066478</v>
      </c>
      <c r="I27" s="8">
        <v>66770.740439661415</v>
      </c>
      <c r="J27" s="8">
        <v>8428.6142238643206</v>
      </c>
      <c r="K27" s="8">
        <v>29356.9477613327</v>
      </c>
      <c r="L27" s="8">
        <v>40153.879391776289</v>
      </c>
      <c r="M27" s="8">
        <v>14582.994624859724</v>
      </c>
      <c r="N27" s="8">
        <v>12238.912541046124</v>
      </c>
      <c r="O27" s="7">
        <v>269124.76804183226</v>
      </c>
    </row>
    <row r="28" spans="2:15" ht="11.45" customHeight="1">
      <c r="B28" s="6" t="s">
        <v>38</v>
      </c>
      <c r="C28" s="8">
        <v>17572839.235517234</v>
      </c>
      <c r="D28" s="8">
        <v>9229388.7079944219</v>
      </c>
      <c r="E28" s="8">
        <v>13850270.087686326</v>
      </c>
      <c r="F28" s="8">
        <v>16584232.302744392</v>
      </c>
      <c r="G28" s="8">
        <v>16494339.316460103</v>
      </c>
      <c r="H28" s="8">
        <v>15496551.740797471</v>
      </c>
      <c r="I28" s="8">
        <v>15100092.288408838</v>
      </c>
      <c r="J28" s="8">
        <v>16836145.625383999</v>
      </c>
      <c r="K28" s="8">
        <v>16031039.731026383</v>
      </c>
      <c r="L28" s="8">
        <v>13785131.410593808</v>
      </c>
      <c r="M28" s="8">
        <v>9423271.7198973056</v>
      </c>
      <c r="N28" s="8">
        <v>13732297.943233438</v>
      </c>
      <c r="O28" s="7">
        <v>174135600.10974371</v>
      </c>
    </row>
    <row r="29" spans="2:15" ht="11.45" customHeight="1">
      <c r="B29" s="6" t="s">
        <v>39</v>
      </c>
      <c r="C29" s="8">
        <v>71037.865924505197</v>
      </c>
      <c r="D29" s="8">
        <v>82790.257647267048</v>
      </c>
      <c r="E29" s="8">
        <v>52193.593870029392</v>
      </c>
      <c r="F29" s="8">
        <v>49022.276095327368</v>
      </c>
      <c r="G29" s="8">
        <v>65905.356968516382</v>
      </c>
      <c r="H29" s="8">
        <v>72432.291536736215</v>
      </c>
      <c r="I29" s="8">
        <v>76176.953981008366</v>
      </c>
      <c r="J29" s="8">
        <v>88217.026604100902</v>
      </c>
      <c r="K29" s="8">
        <v>72329.928727747814</v>
      </c>
      <c r="L29" s="8">
        <v>60163.853835882983</v>
      </c>
      <c r="M29" s="8">
        <v>58752.312222945315</v>
      </c>
      <c r="N29" s="8">
        <v>72590.473506481198</v>
      </c>
      <c r="O29" s="7">
        <v>821612.19092054816</v>
      </c>
    </row>
    <row r="30" spans="2:15" ht="11.45" customHeight="1">
      <c r="B30" s="6" t="s">
        <v>40</v>
      </c>
      <c r="C30" s="8">
        <v>23914.011539637824</v>
      </c>
      <c r="D30" s="8">
        <v>17828.147698014571</v>
      </c>
      <c r="E30" s="8">
        <v>15573.783979867285</v>
      </c>
      <c r="F30" s="8">
        <v>19591.481246926814</v>
      </c>
      <c r="G30" s="8">
        <v>22366.656219856402</v>
      </c>
      <c r="H30" s="8">
        <v>20764.165318826639</v>
      </c>
      <c r="I30" s="8">
        <v>23070.636986874611</v>
      </c>
      <c r="J30" s="8">
        <v>14490.014261307981</v>
      </c>
      <c r="K30" s="8">
        <v>13322.507176802768</v>
      </c>
      <c r="L30" s="8">
        <v>12505.772176611559</v>
      </c>
      <c r="M30" s="8">
        <v>0</v>
      </c>
      <c r="N30" s="8">
        <v>0</v>
      </c>
      <c r="O30" s="7">
        <v>183427.17660472644</v>
      </c>
    </row>
    <row r="31" spans="2:15" ht="11.45" customHeight="1">
      <c r="B31" s="6" t="s">
        <v>41</v>
      </c>
      <c r="C31" s="8">
        <v>1009880.4934903074</v>
      </c>
      <c r="D31" s="8">
        <v>1137769.1575947383</v>
      </c>
      <c r="E31" s="8">
        <v>1865768.348717615</v>
      </c>
      <c r="F31" s="8">
        <v>1085884.3755475609</v>
      </c>
      <c r="G31" s="8">
        <v>1371424.344991765</v>
      </c>
      <c r="H31" s="8">
        <v>2371108.2689342084</v>
      </c>
      <c r="I31" s="8">
        <v>2381183.1308307005</v>
      </c>
      <c r="J31" s="8">
        <v>2058349.9245590782</v>
      </c>
      <c r="K31" s="8">
        <v>2234034.4538328117</v>
      </c>
      <c r="L31" s="8">
        <v>2036691.2239245926</v>
      </c>
      <c r="M31" s="8">
        <v>1111438.2378069726</v>
      </c>
      <c r="N31" s="8">
        <v>1200298.4277849058</v>
      </c>
      <c r="O31" s="7">
        <v>19863830.388015255</v>
      </c>
    </row>
    <row r="32" spans="2:15" ht="11.45" customHeight="1">
      <c r="B32" s="6" t="s">
        <v>42</v>
      </c>
      <c r="C32" s="8">
        <v>1163.1155778894467</v>
      </c>
      <c r="D32" s="8">
        <v>915.76884422110493</v>
      </c>
      <c r="E32" s="8">
        <v>924.4472361809037</v>
      </c>
      <c r="F32" s="8">
        <v>911.54773869346684</v>
      </c>
      <c r="G32" s="8">
        <v>841.09547738693345</v>
      </c>
      <c r="H32" s="8">
        <v>719.79899497487406</v>
      </c>
      <c r="I32" s="8">
        <v>988.22613065326709</v>
      </c>
      <c r="J32" s="8">
        <v>1285.5778894472369</v>
      </c>
      <c r="K32" s="8">
        <v>1395.9798994974856</v>
      </c>
      <c r="L32" s="8">
        <v>802.50251256281479</v>
      </c>
      <c r="M32" s="8">
        <v>529.16582914572803</v>
      </c>
      <c r="N32" s="8">
        <v>729.2864321608032</v>
      </c>
      <c r="O32" s="7">
        <v>11206.512562814065</v>
      </c>
    </row>
    <row r="33" spans="2:15" ht="11.45" customHeight="1">
      <c r="B33" s="6" t="s">
        <v>43</v>
      </c>
      <c r="C33" s="8">
        <v>1866.6375453674134</v>
      </c>
      <c r="D33" s="8">
        <v>2288.0345050755009</v>
      </c>
      <c r="E33" s="8">
        <v>2702.65435841914</v>
      </c>
      <c r="F33" s="8">
        <v>3097.5981866143097</v>
      </c>
      <c r="G33" s="8">
        <v>3803.6430889666935</v>
      </c>
      <c r="H33" s="8">
        <v>3409.5507578594179</v>
      </c>
      <c r="I33" s="8">
        <v>3957.6007474393282</v>
      </c>
      <c r="J33" s="8">
        <v>4539.380574504522</v>
      </c>
      <c r="K33" s="8">
        <v>4275.2206868398853</v>
      </c>
      <c r="L33" s="8">
        <v>5303.5465375440817</v>
      </c>
      <c r="M33" s="8">
        <v>5522.2412106593101</v>
      </c>
      <c r="N33" s="8">
        <v>5839.9341406857848</v>
      </c>
      <c r="O33" s="7">
        <v>46606.042339975385</v>
      </c>
    </row>
    <row r="34" spans="2:15" ht="11.45" customHeight="1">
      <c r="B34" s="6" t="s">
        <v>44</v>
      </c>
      <c r="C34" s="8">
        <v>18553.033395340441</v>
      </c>
      <c r="D34" s="8">
        <v>18605.258572226845</v>
      </c>
      <c r="E34" s="8">
        <v>22144.293879830908</v>
      </c>
      <c r="F34" s="8">
        <v>20993.626013686342</v>
      </c>
      <c r="G34" s="8">
        <v>54272.741690845221</v>
      </c>
      <c r="H34" s="8">
        <v>43416.268804693158</v>
      </c>
      <c r="I34" s="8">
        <v>30067.831548886457</v>
      </c>
      <c r="J34" s="8">
        <v>31088.576731589943</v>
      </c>
      <c r="K34" s="8">
        <v>21158.829591257716</v>
      </c>
      <c r="L34" s="8">
        <v>19450.906369376316</v>
      </c>
      <c r="M34" s="8">
        <v>18372.42640184129</v>
      </c>
      <c r="N34" s="8">
        <v>24624.050511923222</v>
      </c>
      <c r="O34" s="7">
        <v>322747.84351149783</v>
      </c>
    </row>
    <row r="35" spans="2:15" ht="11.45" customHeight="1">
      <c r="B35" s="6" t="s">
        <v>45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7">
        <v>0</v>
      </c>
    </row>
    <row r="36" spans="2:15" ht="11.45" customHeight="1">
      <c r="B36" s="6" t="s">
        <v>46</v>
      </c>
      <c r="C36" s="8">
        <v>18357.743053884195</v>
      </c>
      <c r="D36" s="8">
        <v>41913.870241650286</v>
      </c>
      <c r="E36" s="8">
        <v>70842.411078179633</v>
      </c>
      <c r="F36" s="8">
        <v>24887.192813525238</v>
      </c>
      <c r="G36" s="8">
        <v>48234.259161369082</v>
      </c>
      <c r="H36" s="8">
        <v>97015.184253385698</v>
      </c>
      <c r="I36" s="8">
        <v>89733.593249522892</v>
      </c>
      <c r="J36" s="8">
        <v>80317.971348391395</v>
      </c>
      <c r="K36" s="8">
        <v>91065.130499582665</v>
      </c>
      <c r="L36" s="8">
        <v>90528.674193907442</v>
      </c>
      <c r="M36" s="8">
        <v>39209.517631911942</v>
      </c>
      <c r="N36" s="8">
        <v>29848.768486522855</v>
      </c>
      <c r="O36" s="7">
        <v>721954.31601183326</v>
      </c>
    </row>
    <row r="37" spans="2:15" ht="11.45" customHeight="1">
      <c r="B37" s="6" t="s">
        <v>104</v>
      </c>
      <c r="C37" s="8">
        <v>11765.908621349598</v>
      </c>
      <c r="D37" s="8">
        <v>12532.959756490267</v>
      </c>
      <c r="E37" s="8">
        <v>12211.297687375523</v>
      </c>
      <c r="F37" s="8">
        <v>12694.036887862641</v>
      </c>
      <c r="G37" s="8">
        <v>13029.581641742527</v>
      </c>
      <c r="H37" s="8">
        <v>9958.0640634815227</v>
      </c>
      <c r="I37" s="8">
        <v>10904.124285204603</v>
      </c>
      <c r="J37" s="8">
        <v>12697.222424715388</v>
      </c>
      <c r="K37" s="8">
        <v>12085.119155682059</v>
      </c>
      <c r="L37" s="8">
        <v>12408.357151643249</v>
      </c>
      <c r="M37" s="8">
        <v>13926.921269001514</v>
      </c>
      <c r="N37" s="8">
        <v>24484.879875508752</v>
      </c>
      <c r="O37" s="7">
        <v>158698.47282005765</v>
      </c>
    </row>
    <row r="38" spans="2:15" ht="11.45" customHeight="1">
      <c r="B38" s="6" t="s">
        <v>48</v>
      </c>
      <c r="C38" s="8">
        <v>0</v>
      </c>
      <c r="D38" s="8">
        <v>0</v>
      </c>
      <c r="E38" s="8">
        <v>32.768844221105532</v>
      </c>
      <c r="F38" s="8">
        <v>0</v>
      </c>
      <c r="G38" s="8">
        <v>440.78391959799092</v>
      </c>
      <c r="H38" s="8">
        <v>499.35678391959823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452.42713567839223</v>
      </c>
      <c r="O38" s="7">
        <v>1425.336683417087</v>
      </c>
    </row>
    <row r="39" spans="2:15" ht="11.45" customHeight="1">
      <c r="B39" s="6" t="s">
        <v>49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7">
        <v>0</v>
      </c>
    </row>
    <row r="40" spans="2:15" ht="11.45" customHeight="1">
      <c r="B40" s="6" t="s">
        <v>50</v>
      </c>
      <c r="C40" s="8">
        <v>6306.2661651065191</v>
      </c>
      <c r="D40" s="8">
        <v>6702.4835389131158</v>
      </c>
      <c r="E40" s="8">
        <v>7754.0493110837388</v>
      </c>
      <c r="F40" s="8">
        <v>6660.5586173725815</v>
      </c>
      <c r="G40" s="8">
        <v>6923.3127527625365</v>
      </c>
      <c r="H40" s="8">
        <v>7512.8892515785947</v>
      </c>
      <c r="I40" s="8">
        <v>7642.0753506639012</v>
      </c>
      <c r="J40" s="8">
        <v>7714.6734399755978</v>
      </c>
      <c r="K40" s="8">
        <v>7129.0218415981935</v>
      </c>
      <c r="L40" s="8">
        <v>6783.9016896301446</v>
      </c>
      <c r="M40" s="8">
        <v>5059.6472394247676</v>
      </c>
      <c r="N40" s="8">
        <v>5059.6472394247676</v>
      </c>
      <c r="O40" s="7">
        <v>81248.526437534456</v>
      </c>
    </row>
    <row r="41" spans="2:15" ht="11.45" customHeight="1">
      <c r="B41" s="6" t="s">
        <v>51</v>
      </c>
      <c r="C41" s="8">
        <v>10995.892865995274</v>
      </c>
      <c r="D41" s="8">
        <v>28371.065806941551</v>
      </c>
      <c r="E41" s="8">
        <v>247936.90972918816</v>
      </c>
      <c r="F41" s="8">
        <v>35143.704971036248</v>
      </c>
      <c r="G41" s="8">
        <v>255407.60132559264</v>
      </c>
      <c r="H41" s="8">
        <v>620881.07087382197</v>
      </c>
      <c r="I41" s="8">
        <v>528566.49466530338</v>
      </c>
      <c r="J41" s="8">
        <v>421329.58095959615</v>
      </c>
      <c r="K41" s="8">
        <v>547696.83190093806</v>
      </c>
      <c r="L41" s="8">
        <v>558697.98581098916</v>
      </c>
      <c r="M41" s="8">
        <v>154384.41059237657</v>
      </c>
      <c r="N41" s="8">
        <v>88687.864076957601</v>
      </c>
      <c r="O41" s="7">
        <v>3498099.4135787366</v>
      </c>
    </row>
    <row r="42" spans="2:15" ht="11.45" customHeight="1">
      <c r="B42" s="6" t="s">
        <v>52</v>
      </c>
      <c r="C42" s="8">
        <v>57634.642817988351</v>
      </c>
      <c r="D42" s="8">
        <v>55309.411161354757</v>
      </c>
      <c r="E42" s="8">
        <v>61740.240363283796</v>
      </c>
      <c r="F42" s="8">
        <v>51712.700732395024</v>
      </c>
      <c r="G42" s="8">
        <v>43104.840084695817</v>
      </c>
      <c r="H42" s="8">
        <v>46822.335171008213</v>
      </c>
      <c r="I42" s="8">
        <v>63364.62036109672</v>
      </c>
      <c r="J42" s="8">
        <v>60342.012695916113</v>
      </c>
      <c r="K42" s="8">
        <v>50696.518721933229</v>
      </c>
      <c r="L42" s="8">
        <v>54616.214951131136</v>
      </c>
      <c r="M42" s="8">
        <v>45528.545824703186</v>
      </c>
      <c r="N42" s="8">
        <v>88405.389233326103</v>
      </c>
      <c r="O42" s="7">
        <v>679277.4721188324</v>
      </c>
    </row>
    <row r="43" spans="2:15" ht="11.45" customHeight="1">
      <c r="B43" s="6" t="s">
        <v>53</v>
      </c>
      <c r="C43" s="8">
        <v>29355.65920462244</v>
      </c>
      <c r="D43" s="8">
        <v>30117.307374466211</v>
      </c>
      <c r="E43" s="8">
        <v>35206.280182153678</v>
      </c>
      <c r="F43" s="8">
        <v>24886.800736366735</v>
      </c>
      <c r="G43" s="8">
        <v>31152.680226847977</v>
      </c>
      <c r="H43" s="8">
        <v>29369.52542360764</v>
      </c>
      <c r="I43" s="8">
        <v>25966.03959212522</v>
      </c>
      <c r="J43" s="8">
        <v>57082.151569132235</v>
      </c>
      <c r="K43" s="8">
        <v>74751.735378872501</v>
      </c>
      <c r="L43" s="8">
        <v>75697.622464026819</v>
      </c>
      <c r="M43" s="8">
        <v>58111.560643779179</v>
      </c>
      <c r="N43" s="8">
        <v>67446.592798411453</v>
      </c>
      <c r="O43" s="7">
        <v>539143.95559441205</v>
      </c>
    </row>
    <row r="44" spans="2:15" ht="11.45" customHeight="1">
      <c r="B44" s="6" t="s">
        <v>54</v>
      </c>
      <c r="C44" s="8">
        <v>88547.472959201827</v>
      </c>
      <c r="D44" s="8">
        <v>349762.81559969368</v>
      </c>
      <c r="E44" s="8">
        <v>187116.20811422868</v>
      </c>
      <c r="F44" s="8">
        <v>55081.647180003638</v>
      </c>
      <c r="G44" s="8">
        <v>254260.52398794421</v>
      </c>
      <c r="H44" s="8">
        <v>470720.45869542297</v>
      </c>
      <c r="I44" s="8">
        <v>380911.29279141279</v>
      </c>
      <c r="J44" s="8">
        <v>269810.28035220574</v>
      </c>
      <c r="K44" s="8">
        <v>407809.85577285173</v>
      </c>
      <c r="L44" s="8">
        <v>433162.668998237</v>
      </c>
      <c r="M44" s="8">
        <v>183765.53682532473</v>
      </c>
      <c r="N44" s="8">
        <v>54822.095430428199</v>
      </c>
      <c r="O44" s="7">
        <v>3135770.856706955</v>
      </c>
    </row>
    <row r="45" spans="2:15" ht="11.45" customHeight="1">
      <c r="B45" s="6" t="s">
        <v>55</v>
      </c>
      <c r="C45" s="8">
        <v>97918.323555245879</v>
      </c>
      <c r="D45" s="8">
        <v>92978.476883388328</v>
      </c>
      <c r="E45" s="8">
        <v>118373.18803383582</v>
      </c>
      <c r="F45" s="8">
        <v>111756.96119962158</v>
      </c>
      <c r="G45" s="8">
        <v>107178.14527726604</v>
      </c>
      <c r="H45" s="8">
        <v>99996.678424154408</v>
      </c>
      <c r="I45" s="8">
        <v>106953.90259805904</v>
      </c>
      <c r="J45" s="8">
        <v>115773.52417215201</v>
      </c>
      <c r="K45" s="8">
        <v>106555.06342874916</v>
      </c>
      <c r="L45" s="8">
        <v>96812.33507109218</v>
      </c>
      <c r="M45" s="8">
        <v>81949.994572528842</v>
      </c>
      <c r="N45" s="8">
        <v>80175.97213561993</v>
      </c>
      <c r="O45" s="7">
        <v>1216422.5653517134</v>
      </c>
    </row>
    <row r="46" spans="2:15" ht="11.45" customHeight="1">
      <c r="B46" s="6" t="s">
        <v>56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90.201005025125113</v>
      </c>
      <c r="I46" s="8">
        <v>8.8743718592964793</v>
      </c>
      <c r="J46" s="8">
        <v>0.40703517587939003</v>
      </c>
      <c r="K46" s="8">
        <v>0</v>
      </c>
      <c r="L46" s="8">
        <v>0</v>
      </c>
      <c r="M46" s="8">
        <v>0</v>
      </c>
      <c r="N46" s="8">
        <v>0</v>
      </c>
      <c r="O46" s="7">
        <v>99.482412060300973</v>
      </c>
    </row>
    <row r="47" spans="2:15" ht="11.45" customHeight="1">
      <c r="B47" s="6" t="s">
        <v>57</v>
      </c>
      <c r="C47" s="8">
        <v>379366.00125634688</v>
      </c>
      <c r="D47" s="8">
        <v>562759.95721690415</v>
      </c>
      <c r="E47" s="8">
        <v>1138803.4441961285</v>
      </c>
      <c r="F47" s="8">
        <v>291681.32919586304</v>
      </c>
      <c r="G47" s="8">
        <v>520273.32396989735</v>
      </c>
      <c r="H47" s="8">
        <v>1735250.8702792814</v>
      </c>
      <c r="I47" s="8">
        <v>1946192.8523287917</v>
      </c>
      <c r="J47" s="8">
        <v>1549578.3095417658</v>
      </c>
      <c r="K47" s="8">
        <v>1914297.6337018246</v>
      </c>
      <c r="L47" s="8">
        <v>1565158.9840506392</v>
      </c>
      <c r="M47" s="8">
        <v>589656.29358534701</v>
      </c>
      <c r="N47" s="8">
        <v>656674.16608877352</v>
      </c>
      <c r="O47" s="7">
        <v>12849693.165411562</v>
      </c>
    </row>
    <row r="48" spans="2:15" ht="11.45" customHeight="1">
      <c r="B48" s="6" t="s">
        <v>58</v>
      </c>
      <c r="C48" s="8">
        <v>133.62771124620059</v>
      </c>
      <c r="D48" s="8">
        <v>9613.2376423505539</v>
      </c>
      <c r="E48" s="8">
        <v>24463.607552178317</v>
      </c>
      <c r="F48" s="8">
        <v>6835.6873302938184</v>
      </c>
      <c r="G48" s="8">
        <v>44481.440200607911</v>
      </c>
      <c r="H48" s="8">
        <v>127942.73958156019</v>
      </c>
      <c r="I48" s="8">
        <v>104160.57399797365</v>
      </c>
      <c r="J48" s="8">
        <v>8998.660969604869</v>
      </c>
      <c r="K48" s="8">
        <v>78151.924374886585</v>
      </c>
      <c r="L48" s="8">
        <v>88052.851674772101</v>
      </c>
      <c r="M48" s="8">
        <v>25251.164543059764</v>
      </c>
      <c r="N48" s="8">
        <v>10344.297015197573</v>
      </c>
      <c r="O48" s="7">
        <v>528429.81259373156</v>
      </c>
    </row>
    <row r="49" spans="2:15" ht="11.45" customHeight="1">
      <c r="B49" s="6" t="s">
        <v>59</v>
      </c>
      <c r="C49" s="8">
        <v>33886.911710836808</v>
      </c>
      <c r="D49" s="8">
        <v>29518.819476873694</v>
      </c>
      <c r="E49" s="8">
        <v>26562.903258326547</v>
      </c>
      <c r="F49" s="8">
        <v>32823.847141427177</v>
      </c>
      <c r="G49" s="8">
        <v>58685.812294871081</v>
      </c>
      <c r="H49" s="8">
        <v>83823.077626802828</v>
      </c>
      <c r="I49" s="8">
        <v>61840.766817519849</v>
      </c>
      <c r="J49" s="8">
        <v>52492.069149916439</v>
      </c>
      <c r="K49" s="8">
        <v>65171.767516987784</v>
      </c>
      <c r="L49" s="8">
        <v>90933.761099196243</v>
      </c>
      <c r="M49" s="8">
        <v>71933.336357637396</v>
      </c>
      <c r="N49" s="8">
        <v>46608.034214093292</v>
      </c>
      <c r="O49" s="7">
        <v>654281.10666448926</v>
      </c>
    </row>
    <row r="50" spans="2:15" ht="11.45" customHeight="1">
      <c r="B50" s="6" t="s">
        <v>60</v>
      </c>
      <c r="C50" s="8">
        <v>971812.55602822697</v>
      </c>
      <c r="D50" s="8">
        <v>900641.92093437992</v>
      </c>
      <c r="E50" s="8">
        <v>971741.81241890462</v>
      </c>
      <c r="F50" s="8">
        <v>861584.96962143516</v>
      </c>
      <c r="G50" s="8">
        <v>1006919.6951871683</v>
      </c>
      <c r="H50" s="8">
        <v>1130127.2200618302</v>
      </c>
      <c r="I50" s="8">
        <v>1154144.7379401354</v>
      </c>
      <c r="J50" s="8">
        <v>919919.50770538766</v>
      </c>
      <c r="K50" s="8">
        <v>331295.25742257677</v>
      </c>
      <c r="L50" s="8">
        <v>958762.98479388061</v>
      </c>
      <c r="M50" s="8">
        <v>952183.6658526879</v>
      </c>
      <c r="N50" s="8">
        <v>966651.16942096176</v>
      </c>
      <c r="O50" s="7">
        <v>11125785.497387575</v>
      </c>
    </row>
    <row r="51" spans="2:15" ht="11.45" customHeight="1">
      <c r="B51" s="6" t="s">
        <v>61</v>
      </c>
      <c r="C51" s="8">
        <v>389224.69140093442</v>
      </c>
      <c r="D51" s="8">
        <v>226887.81694888746</v>
      </c>
      <c r="E51" s="8">
        <v>328342.09986178885</v>
      </c>
      <c r="F51" s="8">
        <v>337496.64949397679</v>
      </c>
      <c r="G51" s="8">
        <v>242982.36853856363</v>
      </c>
      <c r="H51" s="8">
        <v>326982.71953289938</v>
      </c>
      <c r="I51" s="8">
        <v>570354.93654317502</v>
      </c>
      <c r="J51" s="8">
        <v>485690.30027514935</v>
      </c>
      <c r="K51" s="8">
        <v>336941.5966755753</v>
      </c>
      <c r="L51" s="8">
        <v>187544.34069827874</v>
      </c>
      <c r="M51" s="8">
        <v>213618.50536387594</v>
      </c>
      <c r="N51" s="8">
        <v>241878.71734680264</v>
      </c>
      <c r="O51" s="7">
        <v>3887944.7426799075</v>
      </c>
    </row>
    <row r="52" spans="2:15" ht="11.45" customHeight="1">
      <c r="B52" s="6" t="s">
        <v>62</v>
      </c>
      <c r="C52" s="8">
        <v>223027.47874843489</v>
      </c>
      <c r="D52" s="8">
        <v>180396.99084380857</v>
      </c>
      <c r="E52" s="8">
        <v>223146.14813546199</v>
      </c>
      <c r="F52" s="8">
        <v>248538.89847617474</v>
      </c>
      <c r="G52" s="8">
        <v>160578.83126832341</v>
      </c>
      <c r="H52" s="8">
        <v>165302.88017402575</v>
      </c>
      <c r="I52" s="8">
        <v>269095.95158672117</v>
      </c>
      <c r="J52" s="8">
        <v>239650.26440871134</v>
      </c>
      <c r="K52" s="8">
        <v>175561.39545765714</v>
      </c>
      <c r="L52" s="8">
        <v>142018.80932652185</v>
      </c>
      <c r="M52" s="8">
        <v>148995.23216614005</v>
      </c>
      <c r="N52" s="8">
        <v>153726.7914777488</v>
      </c>
      <c r="O52" s="7">
        <v>2330039.6720697293</v>
      </c>
    </row>
    <row r="53" spans="2:15" ht="11.45" customHeight="1">
      <c r="B53" s="6" t="s">
        <v>63</v>
      </c>
      <c r="C53" s="8">
        <v>577271.56574368814</v>
      </c>
      <c r="D53" s="8">
        <v>336995.75134245341</v>
      </c>
      <c r="E53" s="8">
        <v>367385.68091742526</v>
      </c>
      <c r="F53" s="8">
        <v>380886.82038871181</v>
      </c>
      <c r="G53" s="8">
        <v>349505.71762959164</v>
      </c>
      <c r="H53" s="8">
        <v>476535.77149190754</v>
      </c>
      <c r="I53" s="8">
        <v>678811.37273639813</v>
      </c>
      <c r="J53" s="8">
        <v>483885.67394889949</v>
      </c>
      <c r="K53" s="8">
        <v>370179.19496693154</v>
      </c>
      <c r="L53" s="8">
        <v>242772.86170958536</v>
      </c>
      <c r="M53" s="8">
        <v>238113.43497078191</v>
      </c>
      <c r="N53" s="8">
        <v>378061.05408109998</v>
      </c>
      <c r="O53" s="7">
        <v>4880404.8999274746</v>
      </c>
    </row>
    <row r="54" spans="2:15" ht="11.45" customHeight="1">
      <c r="B54" s="6" t="s">
        <v>64</v>
      </c>
      <c r="C54" s="8">
        <v>460604.24090645474</v>
      </c>
      <c r="D54" s="8">
        <v>245992.21020506899</v>
      </c>
      <c r="E54" s="8">
        <v>298474.365372236</v>
      </c>
      <c r="F54" s="8">
        <v>282878.03984857455</v>
      </c>
      <c r="G54" s="8">
        <v>248342.18928899246</v>
      </c>
      <c r="H54" s="8">
        <v>355010.84969398112</v>
      </c>
      <c r="I54" s="8">
        <v>506725.97706193337</v>
      </c>
      <c r="J54" s="8">
        <v>351023.01102272957</v>
      </c>
      <c r="K54" s="8">
        <v>231360.37280247858</v>
      </c>
      <c r="L54" s="8">
        <v>165055.09861935276</v>
      </c>
      <c r="M54" s="8">
        <v>181709.63573054963</v>
      </c>
      <c r="N54" s="8">
        <v>295400.97807102546</v>
      </c>
      <c r="O54" s="7">
        <v>3622576.9686233774</v>
      </c>
    </row>
    <row r="55" spans="2:15" ht="11.45" customHeight="1">
      <c r="B55" s="6" t="s">
        <v>65</v>
      </c>
      <c r="C55" s="8">
        <v>636255.92233627988</v>
      </c>
      <c r="D55" s="8">
        <v>315824.56824940612</v>
      </c>
      <c r="E55" s="8">
        <v>418096.22774353198</v>
      </c>
      <c r="F55" s="8">
        <v>398148.57228757814</v>
      </c>
      <c r="G55" s="8">
        <v>310410.07768900442</v>
      </c>
      <c r="H55" s="8">
        <v>422268.65900640294</v>
      </c>
      <c r="I55" s="8">
        <v>553908.60503152688</v>
      </c>
      <c r="J55" s="8">
        <v>401062.81652428629</v>
      </c>
      <c r="K55" s="8">
        <v>265772.16833413881</v>
      </c>
      <c r="L55" s="8">
        <v>139840.83396979797</v>
      </c>
      <c r="M55" s="8">
        <v>138988.7802758498</v>
      </c>
      <c r="N55" s="8">
        <v>222758.17924397421</v>
      </c>
      <c r="O55" s="7">
        <v>4223335.4106917772</v>
      </c>
    </row>
    <row r="56" spans="2:15" ht="11.45" customHeight="1">
      <c r="B56" s="6" t="s">
        <v>66</v>
      </c>
      <c r="C56" s="8">
        <v>242813.61287588603</v>
      </c>
      <c r="D56" s="8">
        <v>135417.36803098349</v>
      </c>
      <c r="E56" s="8">
        <v>172174.00209842451</v>
      </c>
      <c r="F56" s="8">
        <v>236556.84194431169</v>
      </c>
      <c r="G56" s="8">
        <v>177403.14222596155</v>
      </c>
      <c r="H56" s="8">
        <v>203353.23825183621</v>
      </c>
      <c r="I56" s="8">
        <v>329957.16208059283</v>
      </c>
      <c r="J56" s="8">
        <v>247116.26168753457</v>
      </c>
      <c r="K56" s="8">
        <v>191553.26148133483</v>
      </c>
      <c r="L56" s="8">
        <v>93241.197792040737</v>
      </c>
      <c r="M56" s="8">
        <v>121005.82515938192</v>
      </c>
      <c r="N56" s="8">
        <v>193328.15399416993</v>
      </c>
      <c r="O56" s="7">
        <v>2343920.0676224581</v>
      </c>
    </row>
    <row r="57" spans="2:15" ht="11.45" customHeight="1">
      <c r="B57" s="6" t="s">
        <v>67</v>
      </c>
      <c r="C57" s="8">
        <v>120609.72175014677</v>
      </c>
      <c r="D57" s="8">
        <v>63134.796762967126</v>
      </c>
      <c r="E57" s="8">
        <v>94985.30768049047</v>
      </c>
      <c r="F57" s="8">
        <v>102219.21135409658</v>
      </c>
      <c r="G57" s="8">
        <v>67709.40778591868</v>
      </c>
      <c r="H57" s="8">
        <v>83972.544762992751</v>
      </c>
      <c r="I57" s="8">
        <v>145751.09977509466</v>
      </c>
      <c r="J57" s="8">
        <v>125204.4069183305</v>
      </c>
      <c r="K57" s="8">
        <v>97202.572084772022</v>
      </c>
      <c r="L57" s="8">
        <v>40405.588777835714</v>
      </c>
      <c r="M57" s="8">
        <v>51924.085002548636</v>
      </c>
      <c r="N57" s="8">
        <v>82299.631371142808</v>
      </c>
      <c r="O57" s="7">
        <v>1075418.3740263367</v>
      </c>
    </row>
    <row r="58" spans="2:15" ht="11.45" customHeight="1">
      <c r="B58" s="6" t="s">
        <v>68</v>
      </c>
      <c r="C58" s="8">
        <v>162786.39539026743</v>
      </c>
      <c r="D58" s="8">
        <v>88859.073610084801</v>
      </c>
      <c r="E58" s="8">
        <v>115340.15130884839</v>
      </c>
      <c r="F58" s="8">
        <v>125956.37743551185</v>
      </c>
      <c r="G58" s="8">
        <v>92114.407026785178</v>
      </c>
      <c r="H58" s="8">
        <v>125956.41146148615</v>
      </c>
      <c r="I58" s="8">
        <v>175345.05353872353</v>
      </c>
      <c r="J58" s="8">
        <v>152958.49623517628</v>
      </c>
      <c r="K58" s="8">
        <v>113214.48548181936</v>
      </c>
      <c r="L58" s="8">
        <v>79488.805278239626</v>
      </c>
      <c r="M58" s="8">
        <v>66313.174426818383</v>
      </c>
      <c r="N58" s="8">
        <v>127908.15349382459</v>
      </c>
      <c r="O58" s="7">
        <v>1426240.9846875856</v>
      </c>
    </row>
    <row r="59" spans="2:15" ht="11.45" customHeight="1">
      <c r="B59" s="6" t="s">
        <v>69</v>
      </c>
      <c r="C59" s="8">
        <v>43316.999211192015</v>
      </c>
      <c r="D59" s="8">
        <v>40715.584802536243</v>
      </c>
      <c r="E59" s="8">
        <v>47868.311738695767</v>
      </c>
      <c r="F59" s="8">
        <v>44398.527600851776</v>
      </c>
      <c r="G59" s="8">
        <v>41944.488003823542</v>
      </c>
      <c r="H59" s="8">
        <v>41041.145676052176</v>
      </c>
      <c r="I59" s="8">
        <v>43694.29802387271</v>
      </c>
      <c r="J59" s="8">
        <v>47454.651785674658</v>
      </c>
      <c r="K59" s="8">
        <v>43746.398008549666</v>
      </c>
      <c r="L59" s="8">
        <v>42333.997506031657</v>
      </c>
      <c r="M59" s="8">
        <v>29362.745074479371</v>
      </c>
      <c r="N59" s="8">
        <v>40859.651309740453</v>
      </c>
      <c r="O59" s="7">
        <v>506736.79874150001</v>
      </c>
    </row>
    <row r="60" spans="2:15" ht="11.45" customHeight="1">
      <c r="B60" s="6" t="s">
        <v>105</v>
      </c>
      <c r="C60" s="8">
        <v>33509.347773629714</v>
      </c>
      <c r="D60" s="8">
        <v>31276.138489927151</v>
      </c>
      <c r="E60" s="8">
        <v>43118.687433676103</v>
      </c>
      <c r="F60" s="8">
        <v>38877.950644729543</v>
      </c>
      <c r="G60" s="8">
        <v>39874.517190645958</v>
      </c>
      <c r="H60" s="8">
        <v>39755.413311395649</v>
      </c>
      <c r="I60" s="8">
        <v>41569.387249012441</v>
      </c>
      <c r="J60" s="8">
        <v>46439.409192276493</v>
      </c>
      <c r="K60" s="8">
        <v>39924.572372840317</v>
      </c>
      <c r="L60" s="8">
        <v>34420.192812998881</v>
      </c>
      <c r="M60" s="8">
        <v>26550.987928986862</v>
      </c>
      <c r="N60" s="8">
        <v>28471.244148456666</v>
      </c>
      <c r="O60" s="7">
        <v>443787.84854857577</v>
      </c>
    </row>
    <row r="61" spans="2:15" ht="11.45" customHeight="1">
      <c r="B61" s="6" t="s">
        <v>71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>
        <v>0</v>
      </c>
      <c r="N61" s="8">
        <v>0</v>
      </c>
      <c r="O61" s="7">
        <v>0</v>
      </c>
    </row>
    <row r="62" spans="2:15" ht="11.45" customHeight="1">
      <c r="B62" s="6" t="s">
        <v>72</v>
      </c>
      <c r="C62" s="8">
        <v>30067.216313421246</v>
      </c>
      <c r="D62" s="8">
        <v>27455.65712774649</v>
      </c>
      <c r="E62" s="8">
        <v>35584.551228594821</v>
      </c>
      <c r="F62" s="8">
        <v>33716.124869024199</v>
      </c>
      <c r="G62" s="8">
        <v>32371.792790610827</v>
      </c>
      <c r="H62" s="8">
        <v>33289.447932443079</v>
      </c>
      <c r="I62" s="8">
        <v>35389.77800062496</v>
      </c>
      <c r="J62" s="8">
        <v>23455.736342932069</v>
      </c>
      <c r="K62" s="8">
        <v>29565.061386143007</v>
      </c>
      <c r="L62" s="8">
        <v>33468.995566274789</v>
      </c>
      <c r="M62" s="8">
        <v>23162.468789720122</v>
      </c>
      <c r="N62" s="8">
        <v>27214.677447471666</v>
      </c>
      <c r="O62" s="7">
        <v>364741.50779500732</v>
      </c>
    </row>
    <row r="63" spans="2:15" ht="11.45" customHeight="1">
      <c r="B63" s="6" t="s">
        <v>73</v>
      </c>
      <c r="C63" s="8">
        <v>7419.6757764535514</v>
      </c>
      <c r="D63" s="8">
        <v>7560.0851959837719</v>
      </c>
      <c r="E63" s="8">
        <v>8729.3288340852814</v>
      </c>
      <c r="F63" s="8">
        <v>6977.0652482398673</v>
      </c>
      <c r="G63" s="8">
        <v>7818.3753150050643</v>
      </c>
      <c r="H63" s="8">
        <v>7355.2274558457575</v>
      </c>
      <c r="I63" s="8">
        <v>7519.9436747583886</v>
      </c>
      <c r="J63" s="8">
        <v>7860.7237550044538</v>
      </c>
      <c r="K63" s="8">
        <v>7782.1000429465175</v>
      </c>
      <c r="L63" s="8">
        <v>8103.6056782494516</v>
      </c>
      <c r="M63" s="8">
        <v>6177.8135017167388</v>
      </c>
      <c r="N63" s="8">
        <v>7311.3119605162337</v>
      </c>
      <c r="O63" s="7">
        <v>90615.256438805081</v>
      </c>
    </row>
    <row r="64" spans="2:15" ht="11.45" customHeight="1">
      <c r="B64" s="6" t="s">
        <v>74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>
        <v>0</v>
      </c>
      <c r="O64" s="7">
        <v>0</v>
      </c>
    </row>
    <row r="65" spans="2:15" ht="11.45" customHeight="1">
      <c r="B65" s="6" t="s">
        <v>75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7">
        <v>0</v>
      </c>
    </row>
    <row r="66" spans="2:15" ht="11.45" customHeight="1">
      <c r="B66" s="1" t="s">
        <v>76</v>
      </c>
      <c r="C66" s="8">
        <v>10827.807640592649</v>
      </c>
      <c r="D66" s="8">
        <v>11159.234705705714</v>
      </c>
      <c r="E66" s="8">
        <v>13010.352709347013</v>
      </c>
      <c r="F66" s="8">
        <v>12085.810629946209</v>
      </c>
      <c r="G66" s="8">
        <v>11882.554697031634</v>
      </c>
      <c r="H66" s="8">
        <v>11227.608402132057</v>
      </c>
      <c r="I66" s="8">
        <v>12162.154811427674</v>
      </c>
      <c r="J66" s="8">
        <v>14571.474523021428</v>
      </c>
      <c r="K66" s="8">
        <v>12945.590831882642</v>
      </c>
      <c r="L66" s="8">
        <v>13175.582180520511</v>
      </c>
      <c r="M66" s="8">
        <v>9381.6301258063377</v>
      </c>
      <c r="N66" s="8">
        <v>11917.658695309652</v>
      </c>
      <c r="O66" s="7">
        <v>144347.45995272353</v>
      </c>
    </row>
    <row r="67" spans="2:15" ht="11.45" customHeight="1">
      <c r="B67" s="6" t="s">
        <v>77</v>
      </c>
      <c r="C67" s="8">
        <v>18994.1952441629</v>
      </c>
      <c r="D67" s="8">
        <v>18732.516930729034</v>
      </c>
      <c r="E67" s="8">
        <v>22252.782872188967</v>
      </c>
      <c r="F67" s="8">
        <v>19238.177931758219</v>
      </c>
      <c r="G67" s="8">
        <v>20991.741681145893</v>
      </c>
      <c r="H67" s="8">
        <v>19301.167359908126</v>
      </c>
      <c r="I67" s="8">
        <v>19101.833982424694</v>
      </c>
      <c r="J67" s="8">
        <v>19104.318479929207</v>
      </c>
      <c r="K67" s="8">
        <v>18468.530527295319</v>
      </c>
      <c r="L67" s="8">
        <v>20431.74190946341</v>
      </c>
      <c r="M67" s="8">
        <v>15343.566421723728</v>
      </c>
      <c r="N67" s="8">
        <v>17298.423169914488</v>
      </c>
      <c r="O67" s="7">
        <v>229258.99651064398</v>
      </c>
    </row>
    <row r="68" spans="2:15" ht="11.45" customHeight="1">
      <c r="B68" s="1" t="s">
        <v>78</v>
      </c>
      <c r="C68" s="8">
        <v>39668.276128107645</v>
      </c>
      <c r="D68" s="8">
        <v>45674.483214040272</v>
      </c>
      <c r="E68" s="8">
        <v>54521.453434978626</v>
      </c>
      <c r="F68" s="8">
        <v>54468.010531641048</v>
      </c>
      <c r="G68" s="8">
        <v>52392.537366513316</v>
      </c>
      <c r="H68" s="8">
        <v>46643.673580476199</v>
      </c>
      <c r="I68" s="8">
        <v>49647.62829102618</v>
      </c>
      <c r="J68" s="8">
        <v>55283.397255591874</v>
      </c>
      <c r="K68" s="8">
        <v>51491.186202754667</v>
      </c>
      <c r="L68" s="8">
        <v>50010.058082500313</v>
      </c>
      <c r="M68" s="8">
        <v>31056.695734776804</v>
      </c>
      <c r="N68" s="8">
        <v>42857.651892248134</v>
      </c>
      <c r="O68" s="7">
        <v>573715.05171465501</v>
      </c>
    </row>
    <row r="69" spans="2:15" ht="11.45" customHeight="1">
      <c r="B69" s="6" t="s">
        <v>79</v>
      </c>
      <c r="C69" s="8">
        <v>24945.632663214052</v>
      </c>
      <c r="D69" s="8">
        <v>25602.227812228506</v>
      </c>
      <c r="E69" s="8">
        <v>29205.2500327368</v>
      </c>
      <c r="F69" s="8">
        <v>28607.37530472548</v>
      </c>
      <c r="G69" s="8">
        <v>26817.080246562113</v>
      </c>
      <c r="H69" s="8">
        <v>24537.638923243372</v>
      </c>
      <c r="I69" s="8">
        <v>25427.939368064443</v>
      </c>
      <c r="J69" s="8">
        <v>28842.305450087497</v>
      </c>
      <c r="K69" s="8">
        <v>28100.368795688835</v>
      </c>
      <c r="L69" s="8">
        <v>28486.327871153422</v>
      </c>
      <c r="M69" s="8">
        <v>17995.943023818829</v>
      </c>
      <c r="N69" s="8">
        <v>24151.993011810868</v>
      </c>
      <c r="O69" s="7">
        <v>312720.08250333427</v>
      </c>
    </row>
    <row r="70" spans="2:15" ht="11.45" customHeight="1">
      <c r="B70" s="6" t="s">
        <v>80</v>
      </c>
      <c r="C70" s="8">
        <v>496686.90161366086</v>
      </c>
      <c r="D70" s="8">
        <v>402811.76516960794</v>
      </c>
      <c r="E70" s="8">
        <v>771800.8739494558</v>
      </c>
      <c r="F70" s="8">
        <v>682473.13641517609</v>
      </c>
      <c r="G70" s="8">
        <v>825520.03668058687</v>
      </c>
      <c r="H70" s="8">
        <v>954240.73945276788</v>
      </c>
      <c r="I70" s="8">
        <v>966903.31921643671</v>
      </c>
      <c r="J70" s="8">
        <v>927308.98515328136</v>
      </c>
      <c r="K70" s="8">
        <v>1029281.5522409375</v>
      </c>
      <c r="L70" s="8">
        <v>994533.70354574337</v>
      </c>
      <c r="M70" s="8">
        <v>730506.6741314223</v>
      </c>
      <c r="N70" s="8">
        <v>389678.62331938057</v>
      </c>
      <c r="O70" s="7">
        <v>9171746.310888458</v>
      </c>
    </row>
    <row r="71" spans="2:15" ht="11.45" customHeight="1">
      <c r="B71" s="6" t="s">
        <v>81</v>
      </c>
      <c r="C71" s="8">
        <v>43200.576023174712</v>
      </c>
      <c r="D71" s="8">
        <v>28967.990184934046</v>
      </c>
      <c r="E71" s="8">
        <v>22152.600004087915</v>
      </c>
      <c r="F71" s="8">
        <v>23075.791850770009</v>
      </c>
      <c r="G71" s="8">
        <v>56470.721741179354</v>
      </c>
      <c r="H71" s="8">
        <v>37993.268470162264</v>
      </c>
      <c r="I71" s="8">
        <v>38688.955269006256</v>
      </c>
      <c r="J71" s="8">
        <v>38959.163740524273</v>
      </c>
      <c r="K71" s="8">
        <v>40611.256647320748</v>
      </c>
      <c r="L71" s="8">
        <v>24137.607075292883</v>
      </c>
      <c r="M71" s="8">
        <v>61586.153959786061</v>
      </c>
      <c r="N71" s="8">
        <v>37207.886125656325</v>
      </c>
      <c r="O71" s="7">
        <v>453051.9710918949</v>
      </c>
    </row>
    <row r="72" spans="2:15" ht="11.45" customHeight="1">
      <c r="B72" s="6" t="s">
        <v>82</v>
      </c>
      <c r="C72" s="8">
        <v>51201.748936983582</v>
      </c>
      <c r="D72" s="8">
        <v>162722.79051255062</v>
      </c>
      <c r="E72" s="8">
        <v>621605.74879095051</v>
      </c>
      <c r="F72" s="8">
        <v>515986.05777223123</v>
      </c>
      <c r="G72" s="8">
        <v>1363582.0148652133</v>
      </c>
      <c r="H72" s="8">
        <v>3103765.8469884205</v>
      </c>
      <c r="I72" s="8">
        <v>3037300.3799897768</v>
      </c>
      <c r="J72" s="8">
        <v>824735.52814468904</v>
      </c>
      <c r="K72" s="8">
        <v>3209665.5114590162</v>
      </c>
      <c r="L72" s="8">
        <v>3245447.9696326172</v>
      </c>
      <c r="M72" s="8">
        <v>1458615.8648977419</v>
      </c>
      <c r="N72" s="8">
        <v>659075.85672900849</v>
      </c>
      <c r="O72" s="7">
        <v>18253705.318719201</v>
      </c>
    </row>
    <row r="73" spans="2:15" ht="11.45" customHeight="1">
      <c r="B73" s="6" t="s">
        <v>83</v>
      </c>
      <c r="C73" s="8">
        <v>700921.55679834879</v>
      </c>
      <c r="D73" s="8">
        <v>869948.46996609517</v>
      </c>
      <c r="E73" s="8">
        <v>833958.00817794807</v>
      </c>
      <c r="F73" s="8">
        <v>949056.08782674035</v>
      </c>
      <c r="G73" s="8">
        <v>888554.17384223244</v>
      </c>
      <c r="H73" s="8">
        <v>785144.87455073604</v>
      </c>
      <c r="I73" s="8">
        <v>974306.05131295649</v>
      </c>
      <c r="J73" s="8">
        <v>964861.30433389975</v>
      </c>
      <c r="K73" s="8">
        <v>927954.86125903064</v>
      </c>
      <c r="L73" s="8">
        <v>995749.84050418169</v>
      </c>
      <c r="M73" s="8">
        <v>959440.34357782255</v>
      </c>
      <c r="N73" s="8">
        <v>898461.28047366347</v>
      </c>
      <c r="O73" s="7">
        <v>10748356.852623656</v>
      </c>
    </row>
    <row r="74" spans="2:15" ht="11.45" customHeight="1">
      <c r="B74" s="6" t="s">
        <v>84</v>
      </c>
      <c r="C74" s="8">
        <v>2131296.4811821529</v>
      </c>
      <c r="D74" s="8">
        <v>2128598.585109673</v>
      </c>
      <c r="E74" s="8">
        <v>2460201.6729733087</v>
      </c>
      <c r="F74" s="8">
        <v>2070503.9010890187</v>
      </c>
      <c r="G74" s="8">
        <v>2407963.1956107602</v>
      </c>
      <c r="H74" s="8">
        <v>2540474.2205209788</v>
      </c>
      <c r="I74" s="8">
        <v>2449811.2343784841</v>
      </c>
      <c r="J74" s="8">
        <v>2457682.400923572</v>
      </c>
      <c r="K74" s="8">
        <v>2433453.7619818598</v>
      </c>
      <c r="L74" s="8">
        <v>2425259.9267738932</v>
      </c>
      <c r="M74" s="8">
        <v>2338768.1101792082</v>
      </c>
      <c r="N74" s="8">
        <v>2323807.8951572189</v>
      </c>
      <c r="O74" s="7">
        <v>28167821.385880128</v>
      </c>
    </row>
    <row r="75" spans="2:15" ht="11.45" customHeight="1">
      <c r="B75" s="6" t="s">
        <v>85</v>
      </c>
      <c r="C75" s="8">
        <v>8298.2907715642195</v>
      </c>
      <c r="D75" s="8">
        <v>7206.1789788636252</v>
      </c>
      <c r="E75" s="8">
        <v>5044.5857901353838</v>
      </c>
      <c r="F75" s="8">
        <v>13084.267532064221</v>
      </c>
      <c r="G75" s="8">
        <v>22516.167319160413</v>
      </c>
      <c r="H75" s="8">
        <v>9183.3085369054552</v>
      </c>
      <c r="I75" s="8">
        <v>8825.6572770924231</v>
      </c>
      <c r="J75" s="8">
        <v>7812.5960326154545</v>
      </c>
      <c r="K75" s="8">
        <v>4834.0822851313515</v>
      </c>
      <c r="L75" s="8">
        <v>2943.3753275235376</v>
      </c>
      <c r="M75" s="8">
        <v>10651.884014452638</v>
      </c>
      <c r="N75" s="8">
        <v>15074.731555802397</v>
      </c>
      <c r="O75" s="7">
        <v>115475.12542131112</v>
      </c>
    </row>
    <row r="76" spans="2:15" ht="11.45" customHeight="1">
      <c r="B76" s="6" t="s">
        <v>86</v>
      </c>
      <c r="C76" s="8">
        <v>51789.595216727292</v>
      </c>
      <c r="D76" s="8">
        <v>33368.279040867899</v>
      </c>
      <c r="E76" s="8">
        <v>28197.95904429262</v>
      </c>
      <c r="F76" s="8">
        <v>42544.027791840577</v>
      </c>
      <c r="G76" s="8">
        <v>66629.965506946741</v>
      </c>
      <c r="H76" s="8">
        <v>45405.349184207749</v>
      </c>
      <c r="I76" s="8">
        <v>56023.161897803759</v>
      </c>
      <c r="J76" s="8">
        <v>49546.117735317574</v>
      </c>
      <c r="K76" s="8">
        <v>45910.226273457381</v>
      </c>
      <c r="L76" s="8">
        <v>34856.380841308659</v>
      </c>
      <c r="M76" s="8">
        <v>63278.652185748069</v>
      </c>
      <c r="N76" s="8">
        <v>50729.033928226854</v>
      </c>
      <c r="O76" s="7">
        <v>568278.74864674523</v>
      </c>
    </row>
    <row r="77" spans="2:15" ht="11.45" customHeight="1">
      <c r="B77" s="6" t="s">
        <v>87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7">
        <v>0</v>
      </c>
    </row>
    <row r="78" spans="2:15" ht="11.45" customHeight="1">
      <c r="B78" s="6" t="s">
        <v>88</v>
      </c>
      <c r="C78" s="8">
        <v>520.93467336683364</v>
      </c>
      <c r="D78" s="8">
        <v>314.83417085427169</v>
      </c>
      <c r="E78" s="8">
        <v>23.190954773869347</v>
      </c>
      <c r="F78" s="8">
        <v>0</v>
      </c>
      <c r="G78" s="8">
        <v>496.37185929648655</v>
      </c>
      <c r="H78" s="8">
        <v>15.999999999999433</v>
      </c>
      <c r="I78" s="8">
        <v>15.100502512562036</v>
      </c>
      <c r="J78" s="8">
        <v>0</v>
      </c>
      <c r="K78" s="8">
        <v>0.16080402010049499</v>
      </c>
      <c r="L78" s="8">
        <v>260.26130653266318</v>
      </c>
      <c r="M78" s="8">
        <v>751.74371859296286</v>
      </c>
      <c r="N78" s="8">
        <v>28.040201005025121</v>
      </c>
      <c r="O78" s="7">
        <v>2426.6381909547745</v>
      </c>
    </row>
    <row r="79" spans="2:15" ht="11.45" customHeight="1">
      <c r="B79" s="6" t="s">
        <v>89</v>
      </c>
      <c r="C79" s="8">
        <v>38091.032156173489</v>
      </c>
      <c r="D79" s="8">
        <v>28863.177919624926</v>
      </c>
      <c r="E79" s="8">
        <v>39464.788602657391</v>
      </c>
      <c r="F79" s="8">
        <v>33261.80597104023</v>
      </c>
      <c r="G79" s="8">
        <v>16312.109774646511</v>
      </c>
      <c r="H79" s="8">
        <v>33484.578790605847</v>
      </c>
      <c r="I79" s="8">
        <v>30758.283250691562</v>
      </c>
      <c r="J79" s="8">
        <v>33174.11974465735</v>
      </c>
      <c r="K79" s="8">
        <v>27666.175118447161</v>
      </c>
      <c r="L79" s="8">
        <v>26822.2529395887</v>
      </c>
      <c r="M79" s="8">
        <v>3863.5313772112981</v>
      </c>
      <c r="N79" s="8">
        <v>40550.853865033256</v>
      </c>
      <c r="O79" s="7">
        <v>352312.70951037772</v>
      </c>
    </row>
    <row r="80" spans="2:15" ht="11.45" customHeight="1">
      <c r="B80" s="6" t="s">
        <v>90</v>
      </c>
      <c r="C80" s="8">
        <v>15081.612783309938</v>
      </c>
      <c r="D80" s="8">
        <v>8646.5212336324839</v>
      </c>
      <c r="E80" s="8">
        <v>9510.7235863395144</v>
      </c>
      <c r="F80" s="8">
        <v>7377.5247120355698</v>
      </c>
      <c r="G80" s="8">
        <v>4951.0756449107457</v>
      </c>
      <c r="H80" s="8">
        <v>10730.98799705945</v>
      </c>
      <c r="I80" s="8">
        <v>10800.085155295003</v>
      </c>
      <c r="J80" s="8">
        <v>7919.559397208247</v>
      </c>
      <c r="K80" s="8">
        <v>12009.011403551294</v>
      </c>
      <c r="L80" s="8">
        <v>9439.8358331686723</v>
      </c>
      <c r="M80" s="8">
        <v>8384.9759578965513</v>
      </c>
      <c r="N80" s="8">
        <v>14428.301752682608</v>
      </c>
      <c r="O80" s="7">
        <v>119280.21545709006</v>
      </c>
    </row>
    <row r="81" spans="2:15" ht="11.45" customHeight="1">
      <c r="B81" s="6" t="s">
        <v>91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7">
        <v>0</v>
      </c>
    </row>
    <row r="82" spans="2:15" ht="11.45" customHeight="1">
      <c r="B82" s="6" t="s">
        <v>92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7">
        <v>0</v>
      </c>
    </row>
    <row r="83" spans="2:15" ht="11.45" customHeight="1">
      <c r="B83" s="6" t="s">
        <v>93</v>
      </c>
      <c r="C83" s="8">
        <v>327566.30531455687</v>
      </c>
      <c r="D83" s="8">
        <v>304163.67549871595</v>
      </c>
      <c r="E83" s="8">
        <v>317490.50604317087</v>
      </c>
      <c r="F83" s="8">
        <v>317058.4831443865</v>
      </c>
      <c r="G83" s="8">
        <v>327726.84880019515</v>
      </c>
      <c r="H83" s="8">
        <v>317364.57671925117</v>
      </c>
      <c r="I83" s="8">
        <v>277996.34309128067</v>
      </c>
      <c r="J83" s="8">
        <v>304510.949057816</v>
      </c>
      <c r="K83" s="8">
        <v>301545.70083099045</v>
      </c>
      <c r="L83" s="8">
        <v>148915.16554958062</v>
      </c>
      <c r="M83" s="8">
        <v>238186.25449020878</v>
      </c>
      <c r="N83" s="8">
        <v>320618.01495415304</v>
      </c>
      <c r="O83" s="7">
        <v>3503142.8234943058</v>
      </c>
    </row>
    <row r="84" spans="2:15" ht="11.45" customHeight="1">
      <c r="B84" s="6" t="s">
        <v>94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7">
        <v>0</v>
      </c>
    </row>
    <row r="85" spans="2:15" ht="11.45" customHeight="1">
      <c r="B85" s="6" t="s">
        <v>95</v>
      </c>
      <c r="C85" s="8">
        <v>1774.7407071420259</v>
      </c>
      <c r="D85" s="8">
        <v>8873.7602570488543</v>
      </c>
      <c r="E85" s="8">
        <v>286110.11746159114</v>
      </c>
      <c r="F85" s="8">
        <v>20418.462901214392</v>
      </c>
      <c r="G85" s="8">
        <v>199248.94571521934</v>
      </c>
      <c r="H85" s="8">
        <v>777321.06082070863</v>
      </c>
      <c r="I85" s="8">
        <v>675384.49653956585</v>
      </c>
      <c r="J85" s="8">
        <v>640491.69673227461</v>
      </c>
      <c r="K85" s="8">
        <v>1148585.9440016544</v>
      </c>
      <c r="L85" s="8">
        <v>877750.7855166645</v>
      </c>
      <c r="M85" s="8">
        <v>129458.42035198453</v>
      </c>
      <c r="N85" s="8">
        <v>72699.118081900728</v>
      </c>
      <c r="O85" s="7">
        <v>4838117.5490869684</v>
      </c>
    </row>
    <row r="86" spans="2:15" ht="11.45" customHeight="1">
      <c r="B86" s="6" t="s">
        <v>96</v>
      </c>
      <c r="C86" s="8">
        <v>65762.083368243795</v>
      </c>
      <c r="D86" s="8">
        <v>145182.66930305143</v>
      </c>
      <c r="E86" s="8">
        <v>289950.86729038903</v>
      </c>
      <c r="F86" s="8">
        <v>69356.555210924067</v>
      </c>
      <c r="G86" s="8">
        <v>225186.38396065056</v>
      </c>
      <c r="H86" s="8">
        <v>395426.69797167589</v>
      </c>
      <c r="I86" s="8">
        <v>364802.39088272257</v>
      </c>
      <c r="J86" s="8">
        <v>233549.17718710389</v>
      </c>
      <c r="K86" s="8">
        <v>489002.71822231042</v>
      </c>
      <c r="L86" s="8">
        <v>483421.24505361018</v>
      </c>
      <c r="M86" s="8">
        <v>208176.4929664541</v>
      </c>
      <c r="N86" s="8">
        <v>104150.92890281574</v>
      </c>
      <c r="O86" s="7">
        <v>3073968.2103199512</v>
      </c>
    </row>
    <row r="87" spans="2:15" ht="11.45" customHeight="1">
      <c r="B87" s="6" t="s">
        <v>97</v>
      </c>
      <c r="C87" s="8">
        <v>55575.703242009404</v>
      </c>
      <c r="D87" s="8">
        <v>54028.134218641884</v>
      </c>
      <c r="E87" s="8">
        <v>59654.822182525633</v>
      </c>
      <c r="F87" s="8">
        <v>55986.55526773668</v>
      </c>
      <c r="G87" s="8">
        <v>221585.47529363292</v>
      </c>
      <c r="H87" s="8">
        <v>149218.6433561928</v>
      </c>
      <c r="I87" s="8">
        <v>77016.652299384717</v>
      </c>
      <c r="J87" s="8">
        <v>76544.688106023503</v>
      </c>
      <c r="K87" s="8">
        <v>59949.912070446786</v>
      </c>
      <c r="L87" s="8">
        <v>55314.385645222806</v>
      </c>
      <c r="M87" s="8">
        <v>57390.944985773531</v>
      </c>
      <c r="N87" s="8">
        <v>69919.061136586955</v>
      </c>
      <c r="O87" s="7">
        <v>992184.97780417767</v>
      </c>
    </row>
    <row r="88" spans="2:15" ht="11.45" customHeight="1">
      <c r="B88" s="6" t="s">
        <v>106</v>
      </c>
      <c r="C88" s="8">
        <v>19958.160942347433</v>
      </c>
      <c r="D88" s="8">
        <v>17049.622267370323</v>
      </c>
      <c r="E88" s="8">
        <v>17552.385493689904</v>
      </c>
      <c r="F88" s="8">
        <v>17975.39388477011</v>
      </c>
      <c r="G88" s="8">
        <v>15462.03980104754</v>
      </c>
      <c r="H88" s="8">
        <v>33652.078022534879</v>
      </c>
      <c r="I88" s="8">
        <v>33862.796877882356</v>
      </c>
      <c r="J88" s="8">
        <v>39093.01434049481</v>
      </c>
      <c r="K88" s="8">
        <v>23424.169222752324</v>
      </c>
      <c r="L88" s="8">
        <v>14364.287128677335</v>
      </c>
      <c r="M88" s="8">
        <v>13622.498648475888</v>
      </c>
      <c r="N88" s="8">
        <v>16051.744066611207</v>
      </c>
      <c r="O88" s="7">
        <v>262068.19069665408</v>
      </c>
    </row>
    <row r="89" spans="2:15" ht="24.95" customHeight="1">
      <c r="B89" s="3" t="s">
        <v>99</v>
      </c>
      <c r="C89" s="12">
        <f>SUM(C8:C88)</f>
        <v>68013664.066961795</v>
      </c>
      <c r="D89" s="12">
        <f t="shared" ref="D89:J89" si="0">SUM(D8:D88)</f>
        <v>56069621.083478875</v>
      </c>
      <c r="E89" s="12">
        <f t="shared" si="0"/>
        <v>64853350.125962958</v>
      </c>
      <c r="F89" s="12">
        <f t="shared" si="0"/>
        <v>71334557.51860249</v>
      </c>
      <c r="G89" s="12">
        <f t="shared" si="0"/>
        <v>74038119.75702475</v>
      </c>
      <c r="H89" s="12">
        <f t="shared" si="0"/>
        <v>67775006.532562643</v>
      </c>
      <c r="I89" s="12">
        <f t="shared" si="0"/>
        <v>70038528.120935529</v>
      </c>
      <c r="J89" s="12">
        <f t="shared" si="0"/>
        <v>80511427.782898396</v>
      </c>
      <c r="K89" s="12">
        <f>SUM(K8:K88)</f>
        <v>77208302.514203131</v>
      </c>
      <c r="L89" s="12">
        <f>SUM(L8:L88)</f>
        <v>78644262.9819251</v>
      </c>
      <c r="M89" s="12">
        <f>SUM(M8:M88)</f>
        <v>64591540.563328445</v>
      </c>
      <c r="N89" s="12">
        <f>SUM(N8:N88)</f>
        <v>67064093.371750504</v>
      </c>
      <c r="O89" s="12">
        <f>SUM(O8:O88)</f>
        <v>840142474.41963446</v>
      </c>
    </row>
    <row r="90" spans="2:15" ht="5.0999999999999996" customHeight="1"/>
    <row r="91" spans="2:15" ht="14.25" customHeight="1">
      <c r="B91" s="16" t="s">
        <v>107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4.25" customHeight="1">
      <c r="B92" s="16" t="s">
        <v>108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4.25" customHeight="1">
      <c r="B93" s="16" t="s">
        <v>100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2:15">
      <c r="C95" s="7"/>
      <c r="D95" s="7"/>
      <c r="E95" s="7"/>
      <c r="F95" s="7"/>
      <c r="G95" s="7"/>
      <c r="H95" s="7"/>
      <c r="I95" s="7"/>
      <c r="J95" s="7"/>
      <c r="K95" s="7"/>
      <c r="L95" s="7"/>
      <c r="M95" s="15"/>
      <c r="N95" s="15"/>
    </row>
    <row r="96" spans="2:15">
      <c r="B96" s="1" t="s">
        <v>102</v>
      </c>
      <c r="C96" s="7">
        <f>[1]!Calc_Consumos_Propios[[#Totals],[Enero]]-'Consumos Propio'!C89</f>
        <v>0</v>
      </c>
      <c r="D96" s="7">
        <f>[1]!Calc_Consumos_Propios[[#Totals],[Febrero]]-'Consumos Propio'!D89</f>
        <v>0</v>
      </c>
      <c r="E96" s="7">
        <f>[1]!Calc_Consumos_Propios[[#Totals],[Marzo]]-'Consumos Propio'!E89</f>
        <v>0</v>
      </c>
      <c r="F96" s="7">
        <f>[1]!Calc_Consumos_Propios[[#Totals],[Abril]]-'Consumos Propio'!F89</f>
        <v>0</v>
      </c>
      <c r="G96" s="7">
        <f>[1]!Calc_Consumos_Propios[[#Totals],[Mayo]]-'Consumos Propio'!G89</f>
        <v>0</v>
      </c>
      <c r="H96" s="7">
        <f>[1]!Calc_Consumos_Propios[[#Totals],[Junio]]-'Consumos Propio'!H89</f>
        <v>0</v>
      </c>
      <c r="I96" s="7">
        <f>[1]!Calc_Consumos_Propios[[#Totals],[Julio]]-'Consumos Propio'!I89</f>
        <v>0</v>
      </c>
      <c r="J96" s="7">
        <f>[1]!Calc_Consumos_Propios[[#Totals],[Agosto]]-'Consumos Propio'!J89</f>
        <v>0</v>
      </c>
      <c r="K96" s="7">
        <f>[1]!Calc_Consumos_Propios[[#Totals],[Septiembre]]-'Consumos Propio'!K89</f>
        <v>0</v>
      </c>
      <c r="L96" s="7">
        <f>[1]!Calc_Consumos_Propios[[#Totals],[Octubre]]-'Consumos Propio'!L89</f>
        <v>0</v>
      </c>
      <c r="M96" s="7">
        <f>[1]!Calc_Consumos_Propios[[#Totals],[Noviembre]]-'Consumos Propio'!M89</f>
        <v>0</v>
      </c>
      <c r="N96" s="7">
        <f>[1]!Calc_Consumos_Propios[[#Totals],[Diciembre]]-'Consumos Propio'!N89</f>
        <v>0</v>
      </c>
      <c r="O96" s="7">
        <f>[1]!Calc_Consumos_Propios[[#Totals],[Total]]-'Consumos Propio'!O89</f>
        <v>0</v>
      </c>
    </row>
    <row r="97" spans="3:15">
      <c r="C97" s="13"/>
      <c r="D97" s="13"/>
      <c r="E97" s="13"/>
      <c r="F97" s="13"/>
      <c r="G97" s="13"/>
      <c r="H97" s="13"/>
    </row>
    <row r="98" spans="3:15"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</sheetData>
  <mergeCells count="7">
    <mergeCell ref="B93:O93"/>
    <mergeCell ref="B2:O2"/>
    <mergeCell ref="B3:O3"/>
    <mergeCell ref="B4:O4"/>
    <mergeCell ref="B5:O5"/>
    <mergeCell ref="B91:O91"/>
    <mergeCell ref="B92:O92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Gonzalez</dc:creator>
  <cp:keywords/>
  <dc:description/>
  <cp:lastModifiedBy>Angela Gonzalez</cp:lastModifiedBy>
  <cp:revision/>
  <dcterms:created xsi:type="dcterms:W3CDTF">2026-04-20T14:07:06Z</dcterms:created>
  <dcterms:modified xsi:type="dcterms:W3CDTF">2026-08-24T15:18:31Z</dcterms:modified>
  <cp:category/>
  <cp:contentStatus/>
</cp:coreProperties>
</file>