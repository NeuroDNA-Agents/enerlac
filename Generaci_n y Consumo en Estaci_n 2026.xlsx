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e2016-my.sharepoint.com/personal/fcordero_cne_gob_do/Documents/Escritorio/"/>
    </mc:Choice>
  </mc:AlternateContent>
  <xr:revisionPtr revIDLastSave="0" documentId="8_{F563014C-4054-4B6E-B28E-2F9668E06BAD}" xr6:coauthVersionLast="47" xr6:coauthVersionMax="47" xr10:uidLastSave="{00000000-0000-0000-0000-000000000000}"/>
  <bookViews>
    <workbookView xWindow="28680" yWindow="-120" windowWidth="29040" windowHeight="15720" xr2:uid="{9D502164-8A13-4D23-BFBC-2F12F5611B95}"/>
  </bookViews>
  <sheets>
    <sheet name="Generación Bruta" sheetId="1" r:id="rId1"/>
    <sheet name="Consumos Prop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5" i="2" l="1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N106" i="2"/>
  <c r="M106" i="2"/>
  <c r="L106" i="2"/>
  <c r="K106" i="2"/>
  <c r="J106" i="2"/>
  <c r="I106" i="2"/>
  <c r="H106" i="2"/>
  <c r="G106" i="2"/>
  <c r="F106" i="2"/>
  <c r="E106" i="2"/>
  <c r="D106" i="2"/>
  <c r="O8" i="2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O106" i="2" l="1"/>
  <c r="C106" i="2"/>
  <c r="O8" i="1"/>
  <c r="O106" i="1" s="1"/>
</calcChain>
</file>

<file path=xl/sharedStrings.xml><?xml version="1.0" encoding="utf-8"?>
<sst xmlns="http://schemas.openxmlformats.org/spreadsheetml/2006/main" count="242" uniqueCount="126">
  <si>
    <t>Comisión Nacional de Energía</t>
  </si>
  <si>
    <t>Gerencia de Planificación</t>
  </si>
  <si>
    <t>Generación bruta de energía eléctrica según central y Mes, 2026</t>
  </si>
  <si>
    <t>(en kWh)</t>
  </si>
  <si>
    <t>Central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</si>
  <si>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</si>
  <si>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</si>
  <si>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</si>
  <si>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</si>
  <si>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</si>
  <si>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</si>
  <si>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</si>
  <si>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</si>
  <si>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</si>
  <si>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</si>
  <si>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</si>
  <si>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</si>
  <si>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</si>
  <si>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AES Andrés</t>
  </si>
  <si>
    <t>Aguacate</t>
  </si>
  <si>
    <t>Aniana Vargas</t>
  </si>
  <si>
    <t>Baiguaque</t>
  </si>
  <si>
    <t>Barahona Carbón</t>
  </si>
  <si>
    <t>Bersal</t>
  </si>
  <si>
    <t>Brazo Derecho</t>
  </si>
  <si>
    <t>Calabaza</t>
  </si>
  <si>
    <t>Central Termoeléctrica Punta Catalina</t>
  </si>
  <si>
    <t>CEPP</t>
  </si>
  <si>
    <t>CESPM</t>
  </si>
  <si>
    <t>Cumayasa I</t>
  </si>
  <si>
    <t>Cumayasa II</t>
  </si>
  <si>
    <t>Domingo Rodríguez</t>
  </si>
  <si>
    <t>El Salto</t>
  </si>
  <si>
    <t>Estrella de Mar 2</t>
  </si>
  <si>
    <t>Estrella de Mar 3</t>
  </si>
  <si>
    <t>Haina TG</t>
  </si>
  <si>
    <t>Hatillo</t>
  </si>
  <si>
    <t>INCA KM 22</t>
  </si>
  <si>
    <t>Itabo</t>
  </si>
  <si>
    <t>Jigüey</t>
  </si>
  <si>
    <t>Jimenoa</t>
  </si>
  <si>
    <t>La Vega</t>
  </si>
  <si>
    <t>Las Barias</t>
  </si>
  <si>
    <t>Las Damas</t>
  </si>
  <si>
    <t>López Angostura</t>
  </si>
  <si>
    <t>Los Anones</t>
  </si>
  <si>
    <t>Los Orígenes</t>
  </si>
  <si>
    <t>Los Toros</t>
  </si>
  <si>
    <t>Magueyal</t>
  </si>
  <si>
    <t>Maranatha</t>
  </si>
  <si>
    <t>Matrisol</t>
  </si>
  <si>
    <t>Metaldom</t>
  </si>
  <si>
    <t>Monción</t>
  </si>
  <si>
    <t>Monte Plata Solar</t>
  </si>
  <si>
    <t>Monte Río</t>
  </si>
  <si>
    <t>Montecristi Solar</t>
  </si>
  <si>
    <t>Nizao-Najayo</t>
  </si>
  <si>
    <t>Palamara</t>
  </si>
  <si>
    <t>Palenque BT</t>
  </si>
  <si>
    <t>Palomino</t>
  </si>
  <si>
    <t>Parque Energético Los Mina</t>
  </si>
  <si>
    <t>Parque Eólico Agua Clara</t>
  </si>
  <si>
    <t>Parque Eólico Guanillo</t>
  </si>
  <si>
    <t>Parque Eólico Larimar I</t>
  </si>
  <si>
    <t>Parque Eólico Larimar II</t>
  </si>
  <si>
    <t>Parque Eólico Los Cocos</t>
  </si>
  <si>
    <t>Parque Eólico Los Guzmancitos</t>
  </si>
  <si>
    <t>Parque Eólico Los Guzmancitos II</t>
  </si>
  <si>
    <t>Parque Eólico Matafongo</t>
  </si>
  <si>
    <t>Parque Fotovoltaico Bayasol</t>
  </si>
  <si>
    <t>Parque Fotovoltaico Esperanza</t>
  </si>
  <si>
    <t>Parque Fotovoltaico La Victoria</t>
  </si>
  <si>
    <t>Parque Fotovoltaico Los Negros</t>
  </si>
  <si>
    <t>Parque Fotovoltaico Mata de Palma</t>
  </si>
  <si>
    <t>Parque Fotovoltaico Mirasol</t>
  </si>
  <si>
    <t>Parque Fotovoltaico Sajoma</t>
  </si>
  <si>
    <t>Parque Solar Canoa</t>
  </si>
  <si>
    <t>Parque Solar el Soco</t>
  </si>
  <si>
    <t>Parque Solar Girasol</t>
  </si>
  <si>
    <t>Parque Solar Santanasol</t>
  </si>
  <si>
    <t>Pimentel</t>
  </si>
  <si>
    <t>Pinalito</t>
  </si>
  <si>
    <t>Powership</t>
  </si>
  <si>
    <t>Quisqueya 1</t>
  </si>
  <si>
    <t>Quisqueya 2</t>
  </si>
  <si>
    <t>Rincón</t>
  </si>
  <si>
    <t>Río Blanco</t>
  </si>
  <si>
    <t>Río San Juan</t>
  </si>
  <si>
    <t>Rosa Julia de la Cruz (Boba)</t>
  </si>
  <si>
    <t>Sábana Yegua</t>
  </si>
  <si>
    <t>Sabaneta</t>
  </si>
  <si>
    <t>San Felipe</t>
  </si>
  <si>
    <t>San Lorenzo 1</t>
  </si>
  <si>
    <t>San Pedro BioEnergy</t>
  </si>
  <si>
    <t>San Pedro Vapor</t>
  </si>
  <si>
    <t>SIBA</t>
  </si>
  <si>
    <t>Sultana del Este</t>
  </si>
  <si>
    <t>Tavera</t>
  </si>
  <si>
    <t>Valdesia</t>
  </si>
  <si>
    <t>Washington Capital Solar Park 2</t>
  </si>
  <si>
    <t>Washington Capital Solar Park 3</t>
  </si>
  <si>
    <t>Parque Solar Fotovoltaico Cotoperí I</t>
  </si>
  <si>
    <t>Parque Solar Fotovoltaico Cotoperí II</t>
  </si>
  <si>
    <t>Parque Solar Fotovoltaico Cotoperí III</t>
  </si>
  <si>
    <t>Energas 4</t>
  </si>
  <si>
    <t>Parque Fotovoltaico Coastal</t>
  </si>
  <si>
    <t>Parque Solar Lucila</t>
  </si>
  <si>
    <t>Peravia Solar I</t>
  </si>
  <si>
    <t>Peravia Solar II</t>
  </si>
  <si>
    <t>Parque Fotovoltaico Marti</t>
  </si>
  <si>
    <t>Parque Fotovoltaico Cumayasa 4</t>
  </si>
  <si>
    <t>Payita I</t>
  </si>
  <si>
    <t>Parque Eólico Esperanza</t>
  </si>
  <si>
    <t xml:space="preserve">Manzanillo Power Land </t>
  </si>
  <si>
    <t>Villarpando</t>
  </si>
  <si>
    <t>Esperanza Solar II</t>
  </si>
  <si>
    <t xml:space="preserve">Total </t>
  </si>
  <si>
    <r>
      <rPr>
        <b/>
        <sz val="8"/>
        <rFont val="Futura Bk BT"/>
        <family val="2"/>
      </rPr>
      <t>Nota</t>
    </r>
    <r>
      <rPr>
        <sz val="8"/>
        <rFont val="Futura Bk BT"/>
        <family val="2"/>
      </rPr>
      <t>:     El dato de Sultana del Este, Quisqueya 1 y San Pedro BioEnergy representa el excedente inyectado al sistema (SENI) en lugar de la generación total de la central.</t>
    </r>
  </si>
  <si>
    <r>
      <rPr>
        <b/>
        <sz val="8"/>
        <rFont val="Futura Bk BT"/>
        <family val="2"/>
      </rPr>
      <t>Fuente:</t>
    </r>
    <r>
      <rPr>
        <sz val="8"/>
        <rFont val="Futura Bk BT"/>
        <family val="2"/>
      </rPr>
      <t xml:space="preserve"> Elaboración propia en base a datos suministrados por el Organismo Coordinador del Sistema Eléctrico Nacional Interconectado, julio 2026.</t>
    </r>
  </si>
  <si>
    <t>Fecha: Actualización 18/08/2026</t>
  </si>
  <si>
    <t>Consumos propios de energía eléctrica según central y Mes, 2026</t>
  </si>
  <si>
    <r>
      <rPr>
        <b/>
        <sz val="8"/>
        <rFont val="Futura Bk BT"/>
        <family val="2"/>
      </rPr>
      <t>Nota¹</t>
    </r>
    <r>
      <rPr>
        <sz val="8"/>
        <rFont val="Futura Bk BT"/>
        <family val="2"/>
      </rPr>
      <t>:     Los datos de consumo de estación corresponden la cantidad de energía utilizada en las instalaciones de las plantas eléctricas.</t>
    </r>
  </si>
  <si>
    <r>
      <rPr>
        <b/>
        <sz val="8"/>
        <rFont val="Futura Bk BT"/>
        <family val="2"/>
      </rPr>
      <t>Nota²</t>
    </r>
    <r>
      <rPr>
        <sz val="8"/>
        <rFont val="Futura Bk BT"/>
        <family val="2"/>
      </rPr>
      <t>:     El dato de Sultana del Este, Quisqueya 1 y San Pedro BioEnergy representa el excedente inyectado al sistema (SENI) en lugar de la generación total de la central.</t>
    </r>
  </si>
  <si>
    <r>
      <t>Nota</t>
    </r>
    <r>
      <rPr>
        <b/>
        <vertAlign val="superscript"/>
        <sz val="8"/>
        <rFont val="Futura Bk BT"/>
        <family val="2"/>
      </rPr>
      <t>3</t>
    </r>
    <r>
      <rPr>
        <b/>
        <sz val="8"/>
        <rFont val="Futura Bk BT"/>
        <family val="2"/>
      </rPr>
      <t>:</t>
    </r>
    <r>
      <rPr>
        <sz val="8"/>
        <rFont val="Futura Bk BT"/>
        <family val="2"/>
      </rPr>
      <t xml:space="preserve"> A partir del reporte correspondiente al mes de Octubre de 2025 se present desagregada la generación de Peravia Solar I y Peravia Solar II, reportadas como una sola unidad de generación en los reportes de julio, agosto y septiembre de 2025. 
Se presentan los datos separados por central desde su entrada en operación agosto 2025 y julio 2025 respectivamente.</t>
    </r>
  </si>
  <si>
    <r>
      <rPr>
        <b/>
        <sz val="8"/>
        <rFont val="Futura Bk BT"/>
        <family val="2"/>
      </rPr>
      <t>Fuente:</t>
    </r>
    <r>
      <rPr>
        <sz val="8"/>
        <rFont val="Futura Bk BT"/>
        <family val="2"/>
      </rPr>
      <t xml:space="preserve"> Elaboración propia en base a datos suministrados por el Organismo Coordinador del Sistema Eléctrico Nacional Interconectado, 2026.</t>
    </r>
  </si>
  <si>
    <t>Fecha: Actualización: 18/08/2026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</si>
</sst>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Futura Bk BT"/>
      <family val="2"/>
    </font>
    <font>
      <sz val="8"/>
      <name val="Futura Bk BT"/>
      <family val="2"/>
    </font>
    <font>
      <b/>
      <sz val="8"/>
      <color theme="0"/>
      <name val="Futura Bk BT"/>
      <family val="2"/>
    </font>
    <font>
      <sz val="11"/>
      <color theme="1"/>
      <name val="Futura Bk BT"/>
      <family val="2"/>
    </font>
    <font>
      <b/>
      <vertAlign val="superscript"/>
      <sz val="8"/>
      <name val="Futura Bk B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hidden="1"/>
    </xf>
    <xf numFmtId="3" fontId="4" fillId="3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right" vertical="center"/>
    </xf>
    <xf numFmtId="164" fontId="3" fillId="0" borderId="0" xfId="1" applyFont="1" applyAlignment="1">
      <alignment horizontal="right" vertical="center" indent="1"/>
    </xf>
    <xf numFmtId="164" fontId="4" fillId="3" borderId="0" xfId="1" applyFont="1" applyFill="1" applyAlignment="1">
      <alignment vertical="center"/>
    </xf>
    <xf numFmtId="0" fontId="5" fillId="0" borderId="0" xfId="0" applyFont="1"/>
    <xf numFmtId="164" fontId="3" fillId="0" borderId="0" xfId="1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40308</xdr:colOff>
      <xdr:row>0</xdr:row>
      <xdr:rowOff>11204</xdr:rowOff>
    </xdr:from>
    <xdr:to>
      <xdr:col>1</xdr:col>
      <xdr:colOff>1872461</xdr:colOff>
      <xdr:row>5</xdr:row>
      <xdr:rowOff>92643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AC7BD5-FDD3-4232-9991-818CE172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808" y="11204"/>
          <a:ext cx="1832153" cy="809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31894</xdr:colOff>
      <xdr:row>0</xdr:row>
      <xdr:rowOff>22410</xdr:rowOff>
    </xdr:from>
    <xdr:to>
      <xdr:col>1</xdr:col>
      <xdr:colOff>1907879</xdr:colOff>
      <xdr:row>5</xdr:row>
      <xdr:rowOff>135975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589964-1BD4-4516-94BB-0E2853B24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394" y="22410"/>
          <a:ext cx="1875985" cy="841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3FC0-797D-441D-A691-1238AEF32C79}">
  <sheetPr>
    <tabColor theme="6" tint="0.59999389629810485"/>
  </sheetPr>
  <dimension ref="A2:X205"/>
  <sheetViews>
    <sheetView showGridLines="0" tabSelected="1" zoomScale="85" zoomScaleNormal="85" workbookViewId="0">
      <selection activeCell="A4" sqref="A4"/>
    </sheetView>
  </sheetViews>
  <sheetFormatPr defaultColWidth="20" defaultRowHeight="11.25"/>
  <cols>
    <col min="1" max="1" width="20" style="1"/>
    <col min="2" max="2" width="32.7109375" style="1" customWidth="1"/>
    <col min="3" max="14" width="20" style="1"/>
    <col min="15" max="15" width="17.85546875" style="1" customWidth="1"/>
    <col min="16" max="16384" width="20" style="1"/>
  </cols>
  <sheetData>
    <row r="2" spans="2:1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>
      <c r="B3" s="14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2:15">
      <c r="B4" s="14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2:15">
      <c r="B5" s="14" t="s">
        <v>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2:1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5" ht="24.95" customHeight="1"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5" t="s">
        <v>17</v>
      </c>
    </row>
    <row r="8" spans="2:15" ht="11.25" customHeight="1">
      <c r="B8" s="6" t="s">
        <v>18</v>
      </c>
      <c r="C8" s="7">
        <v>42965710.00941743</v>
      </c>
      <c r="D8" s="8">
        <v>149462695.9337483</v>
      </c>
      <c r="E8" s="8">
        <v>163353850.79389036</v>
      </c>
      <c r="F8" s="8">
        <v>136664136.20272109</v>
      </c>
      <c r="G8" s="8">
        <v>120795298.39546937</v>
      </c>
      <c r="H8" s="8">
        <v>172925144.66896647</v>
      </c>
      <c r="I8" s="8">
        <v>170313222.04554549</v>
      </c>
      <c r="J8" s="8">
        <v>0</v>
      </c>
      <c r="K8" s="8">
        <v>0</v>
      </c>
      <c r="L8" s="8">
        <v>0</v>
      </c>
      <c r="M8" s="9">
        <v>0</v>
      </c>
      <c r="N8" s="9">
        <v>0</v>
      </c>
      <c r="O8" s="7">
        <f>SUM(C8:N8)</f>
        <v>956480058.04975855</v>
      </c>
    </row>
    <row r="9" spans="2:15" ht="11.25" customHeight="1">
      <c r="B9" s="6" t="s">
        <v>19</v>
      </c>
      <c r="C9" s="7">
        <v>16906951.983790733</v>
      </c>
      <c r="D9" s="8">
        <v>14855346.532231726</v>
      </c>
      <c r="E9" s="8">
        <v>17676358.787916444</v>
      </c>
      <c r="F9" s="8">
        <v>18115694.600051984</v>
      </c>
      <c r="G9" s="8">
        <v>18104853.979708523</v>
      </c>
      <c r="H9" s="8">
        <v>15193204.014557432</v>
      </c>
      <c r="I9" s="8">
        <v>14092062.364731561</v>
      </c>
      <c r="J9" s="8">
        <v>0</v>
      </c>
      <c r="K9" s="8">
        <v>0</v>
      </c>
      <c r="L9" s="8">
        <v>0</v>
      </c>
      <c r="M9" s="9">
        <v>0</v>
      </c>
      <c r="N9" s="9">
        <v>0</v>
      </c>
      <c r="O9" s="7">
        <f t="shared" ref="O9:O72" si="0">SUM(C9:N9)</f>
        <v>114944472.26298842</v>
      </c>
    </row>
    <row r="10" spans="2:15" ht="11.25" customHeight="1">
      <c r="B10" s="6" t="s">
        <v>20</v>
      </c>
      <c r="C10" s="7">
        <v>127573.8693467337</v>
      </c>
      <c r="D10" s="8">
        <v>89121.608040200939</v>
      </c>
      <c r="E10" s="8">
        <v>138074.37185929669</v>
      </c>
      <c r="F10" s="8">
        <v>179877.38693467341</v>
      </c>
      <c r="G10" s="8">
        <v>193845.22613065329</v>
      </c>
      <c r="H10" s="8">
        <v>98323.618090451972</v>
      </c>
      <c r="I10" s="8">
        <v>85635.175879396702</v>
      </c>
      <c r="J10" s="8">
        <v>0</v>
      </c>
      <c r="K10" s="8">
        <v>0</v>
      </c>
      <c r="L10" s="8">
        <v>0</v>
      </c>
      <c r="M10" s="9">
        <v>0</v>
      </c>
      <c r="N10" s="9">
        <v>0</v>
      </c>
      <c r="O10" s="7">
        <f t="shared" si="0"/>
        <v>912451.25628140674</v>
      </c>
    </row>
    <row r="11" spans="2:15" ht="11.25" customHeight="1">
      <c r="B11" s="6" t="s">
        <v>21</v>
      </c>
      <c r="C11" s="7">
        <v>55397.98994974856</v>
      </c>
      <c r="D11" s="8">
        <v>54915.577889447057</v>
      </c>
      <c r="E11" s="8">
        <v>42838.190954773832</v>
      </c>
      <c r="F11" s="8">
        <v>282299.49748743698</v>
      </c>
      <c r="G11" s="8">
        <v>214646.2311557793</v>
      </c>
      <c r="H11" s="8">
        <v>111328.64321608115</v>
      </c>
      <c r="I11" s="8">
        <v>68422.110552763785</v>
      </c>
      <c r="J11" s="8">
        <v>0</v>
      </c>
      <c r="K11" s="8">
        <v>0</v>
      </c>
      <c r="L11" s="8">
        <v>0</v>
      </c>
      <c r="M11" s="9">
        <v>0</v>
      </c>
      <c r="N11" s="9">
        <v>0</v>
      </c>
      <c r="O11" s="7">
        <f t="shared" si="0"/>
        <v>829848.24120603071</v>
      </c>
    </row>
    <row r="12" spans="2:15" ht="11.25" customHeight="1">
      <c r="B12" s="6" t="s">
        <v>22</v>
      </c>
      <c r="C12" s="7">
        <v>25029624.562850401</v>
      </c>
      <c r="D12" s="8">
        <v>25395288.275551274</v>
      </c>
      <c r="E12" s="8">
        <v>26667336.332175203</v>
      </c>
      <c r="F12" s="8">
        <v>29204375.916733213</v>
      </c>
      <c r="G12" s="8">
        <v>26441720.657607127</v>
      </c>
      <c r="H12" s="8">
        <v>23792504.360266767</v>
      </c>
      <c r="I12" s="8">
        <v>24257022.428686723</v>
      </c>
      <c r="J12" s="8">
        <v>0</v>
      </c>
      <c r="K12" s="8">
        <v>0</v>
      </c>
      <c r="L12" s="8">
        <v>0</v>
      </c>
      <c r="M12" s="9">
        <v>0</v>
      </c>
      <c r="N12" s="9">
        <v>0</v>
      </c>
      <c r="O12" s="7">
        <f t="shared" si="0"/>
        <v>180787872.5338707</v>
      </c>
    </row>
    <row r="13" spans="2:15" ht="11.25" customHeight="1">
      <c r="B13" s="6" t="s">
        <v>23</v>
      </c>
      <c r="C13" s="7">
        <v>954513.6573561976</v>
      </c>
      <c r="D13" s="8">
        <v>533714.87281184655</v>
      </c>
      <c r="E13" s="8">
        <v>1210155.3530525647</v>
      </c>
      <c r="F13" s="8">
        <v>1167210.0451649649</v>
      </c>
      <c r="G13" s="8">
        <v>1776665.6112841871</v>
      </c>
      <c r="H13" s="8">
        <v>2023958.0883729239</v>
      </c>
      <c r="I13" s="8">
        <v>1740063.2999090815</v>
      </c>
      <c r="J13" s="8">
        <v>0</v>
      </c>
      <c r="K13" s="8">
        <v>0</v>
      </c>
      <c r="L13" s="8">
        <v>0</v>
      </c>
      <c r="M13" s="9">
        <v>0</v>
      </c>
      <c r="N13" s="9">
        <v>0</v>
      </c>
      <c r="O13" s="7">
        <f t="shared" si="0"/>
        <v>9406280.9279517662</v>
      </c>
    </row>
    <row r="14" spans="2:15" ht="11.25" customHeight="1">
      <c r="B14" s="6" t="s">
        <v>24</v>
      </c>
      <c r="C14" s="7">
        <v>6325.3907139130188</v>
      </c>
      <c r="D14" s="8">
        <v>267389.93472158449</v>
      </c>
      <c r="E14" s="8">
        <v>470110.42398974794</v>
      </c>
      <c r="F14" s="8">
        <v>383735.6348237652</v>
      </c>
      <c r="G14" s="8">
        <v>389910.95814828767</v>
      </c>
      <c r="H14" s="8">
        <v>472589.85714252363</v>
      </c>
      <c r="I14" s="8">
        <v>320064.36343942711</v>
      </c>
      <c r="J14" s="8">
        <v>0</v>
      </c>
      <c r="K14" s="8">
        <v>0</v>
      </c>
      <c r="L14" s="8">
        <v>0</v>
      </c>
      <c r="M14" s="9">
        <v>0</v>
      </c>
      <c r="N14" s="9">
        <v>0</v>
      </c>
      <c r="O14" s="7">
        <f t="shared" si="0"/>
        <v>2310126.5629792488</v>
      </c>
    </row>
    <row r="15" spans="2:15" ht="11.25" customHeight="1">
      <c r="B15" s="6" t="s">
        <v>25</v>
      </c>
      <c r="C15" s="7">
        <v>5236102.9794656448</v>
      </c>
      <c r="D15" s="8">
        <v>6018450.6224399209</v>
      </c>
      <c r="E15" s="8">
        <v>5326356.2125708256</v>
      </c>
      <c r="F15" s="8">
        <v>6307746.6300779674</v>
      </c>
      <c r="G15" s="8">
        <v>7197512.1863837652</v>
      </c>
      <c r="H15" s="8">
        <v>6923257.2401291532</v>
      </c>
      <c r="I15" s="8">
        <v>7556242.7971308297</v>
      </c>
      <c r="J15" s="8">
        <v>0</v>
      </c>
      <c r="K15" s="8">
        <v>0</v>
      </c>
      <c r="L15" s="8">
        <v>0</v>
      </c>
      <c r="M15" s="9">
        <v>0</v>
      </c>
      <c r="N15" s="9">
        <v>0</v>
      </c>
      <c r="O15" s="7">
        <f t="shared" si="0"/>
        <v>44565668.668198109</v>
      </c>
    </row>
    <row r="16" spans="2:15" ht="11.25" customHeight="1">
      <c r="B16" s="6" t="s">
        <v>26</v>
      </c>
      <c r="C16" s="7">
        <v>406904311.77841628</v>
      </c>
      <c r="D16" s="8">
        <v>259527203.2860986</v>
      </c>
      <c r="E16" s="8">
        <v>378073736.05862916</v>
      </c>
      <c r="F16" s="8">
        <v>204501119.09465748</v>
      </c>
      <c r="G16" s="8">
        <v>334754076.18079495</v>
      </c>
      <c r="H16" s="8">
        <v>405285556.25721848</v>
      </c>
      <c r="I16" s="8">
        <v>478846279.81848794</v>
      </c>
      <c r="J16" s="8">
        <v>0</v>
      </c>
      <c r="K16" s="8">
        <v>0</v>
      </c>
      <c r="L16" s="8">
        <v>0</v>
      </c>
      <c r="M16" s="9">
        <v>0</v>
      </c>
      <c r="N16" s="9">
        <v>0</v>
      </c>
      <c r="O16" s="7">
        <f t="shared" si="0"/>
        <v>2467892282.4743032</v>
      </c>
    </row>
    <row r="17" spans="2:15" ht="11.25" customHeight="1">
      <c r="B17" s="6" t="s">
        <v>27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9">
        <v>0</v>
      </c>
      <c r="N17" s="9">
        <v>0</v>
      </c>
      <c r="O17" s="7">
        <f t="shared" si="0"/>
        <v>0</v>
      </c>
    </row>
    <row r="18" spans="2:15" ht="11.25" customHeight="1">
      <c r="B18" s="6" t="s">
        <v>28</v>
      </c>
      <c r="C18" s="7">
        <v>42281608.015568674</v>
      </c>
      <c r="D18" s="8">
        <v>76.748736192384001</v>
      </c>
      <c r="E18" s="8">
        <v>1746789.6369135431</v>
      </c>
      <c r="F18" s="8">
        <v>97500542.790221423</v>
      </c>
      <c r="G18" s="8">
        <v>177462671.12732345</v>
      </c>
      <c r="H18" s="8">
        <v>162512026.93671277</v>
      </c>
      <c r="I18" s="8">
        <v>180381057.81799954</v>
      </c>
      <c r="J18" s="8">
        <v>0</v>
      </c>
      <c r="K18" s="8">
        <v>0</v>
      </c>
      <c r="L18" s="8">
        <v>0</v>
      </c>
      <c r="M18" s="9">
        <v>0</v>
      </c>
      <c r="N18" s="9">
        <v>0</v>
      </c>
      <c r="O18" s="7">
        <f t="shared" si="0"/>
        <v>661884773.0734756</v>
      </c>
    </row>
    <row r="19" spans="2:15" ht="11.25" customHeight="1">
      <c r="B19" s="6" t="s">
        <v>29</v>
      </c>
      <c r="C19" s="7">
        <v>5865850.9075259631</v>
      </c>
      <c r="D19" s="8">
        <v>6960000.6040570904</v>
      </c>
      <c r="E19" s="8">
        <v>6227309.2512646774</v>
      </c>
      <c r="F19" s="8">
        <v>8184435.774181135</v>
      </c>
      <c r="G19" s="8">
        <v>9364226.5601867959</v>
      </c>
      <c r="H19" s="8">
        <v>9061980.0102058332</v>
      </c>
      <c r="I19" s="8">
        <v>8666798.4579130933</v>
      </c>
      <c r="J19" s="8">
        <v>0</v>
      </c>
      <c r="K19" s="8">
        <v>0</v>
      </c>
      <c r="L19" s="8">
        <v>0</v>
      </c>
      <c r="M19" s="9">
        <v>0</v>
      </c>
      <c r="N19" s="9">
        <v>0</v>
      </c>
      <c r="O19" s="7">
        <f t="shared" si="0"/>
        <v>54330601.565334588</v>
      </c>
    </row>
    <row r="20" spans="2:15" ht="11.25" customHeight="1">
      <c r="B20" s="6" t="s">
        <v>30</v>
      </c>
      <c r="C20" s="7">
        <v>3552967.9191727648</v>
      </c>
      <c r="D20" s="8">
        <v>4135923.9008213505</v>
      </c>
      <c r="E20" s="8">
        <v>3752433.7276678444</v>
      </c>
      <c r="F20" s="8">
        <v>4893103.5199559964</v>
      </c>
      <c r="G20" s="8">
        <v>5558104.0025360156</v>
      </c>
      <c r="H20" s="8">
        <v>5365584.5063744308</v>
      </c>
      <c r="I20" s="8">
        <v>5157309.8864492262</v>
      </c>
      <c r="J20" s="8">
        <v>0</v>
      </c>
      <c r="K20" s="8">
        <v>0</v>
      </c>
      <c r="L20" s="8">
        <v>0</v>
      </c>
      <c r="M20" s="9">
        <v>0</v>
      </c>
      <c r="N20" s="9">
        <v>0</v>
      </c>
      <c r="O20" s="7">
        <f t="shared" si="0"/>
        <v>32415427.462977629</v>
      </c>
    </row>
    <row r="21" spans="2:15" ht="11.25" customHeight="1">
      <c r="B21" s="6" t="s">
        <v>31</v>
      </c>
      <c r="C21" s="7">
        <v>1337273.1188614664</v>
      </c>
      <c r="D21" s="8">
        <v>543492.24728867947</v>
      </c>
      <c r="E21" s="8">
        <v>613278.68179062812</v>
      </c>
      <c r="F21" s="8">
        <v>679461.79693547683</v>
      </c>
      <c r="G21" s="8">
        <v>1160214.3737225679</v>
      </c>
      <c r="H21" s="8">
        <v>1241176.3862952313</v>
      </c>
      <c r="I21" s="8">
        <v>1241001.3997611918</v>
      </c>
      <c r="J21" s="8">
        <v>0</v>
      </c>
      <c r="K21" s="8">
        <v>0</v>
      </c>
      <c r="L21" s="8">
        <v>0</v>
      </c>
      <c r="M21" s="9">
        <v>0</v>
      </c>
      <c r="N21" s="9">
        <v>0</v>
      </c>
      <c r="O21" s="7">
        <f t="shared" si="0"/>
        <v>6815898.004655241</v>
      </c>
    </row>
    <row r="22" spans="2:15" ht="11.25" customHeight="1">
      <c r="B22" s="6" t="s">
        <v>32</v>
      </c>
      <c r="C22" s="7">
        <v>0</v>
      </c>
      <c r="D22" s="8">
        <v>0</v>
      </c>
      <c r="E22" s="8">
        <v>63585.929648241152</v>
      </c>
      <c r="F22" s="8">
        <v>177926.63316582897</v>
      </c>
      <c r="G22" s="8">
        <v>106708.54271356841</v>
      </c>
      <c r="H22" s="8">
        <v>87412.060301507547</v>
      </c>
      <c r="I22" s="8">
        <v>87728.643216080498</v>
      </c>
      <c r="J22" s="8">
        <v>0</v>
      </c>
      <c r="K22" s="8">
        <v>0</v>
      </c>
      <c r="L22" s="8">
        <v>0</v>
      </c>
      <c r="M22" s="9">
        <v>0</v>
      </c>
      <c r="N22" s="9">
        <v>0</v>
      </c>
      <c r="O22" s="7">
        <f t="shared" si="0"/>
        <v>523361.80904522655</v>
      </c>
    </row>
    <row r="23" spans="2:15" ht="11.25" customHeight="1">
      <c r="B23" s="6" t="s">
        <v>33</v>
      </c>
      <c r="C23" s="7">
        <v>54908810.67914173</v>
      </c>
      <c r="D23" s="8">
        <v>50616763.964462221</v>
      </c>
      <c r="E23" s="8">
        <v>48489198.464893155</v>
      </c>
      <c r="F23" s="8">
        <v>50404403.174067527</v>
      </c>
      <c r="G23" s="8">
        <v>51637565.47600168</v>
      </c>
      <c r="H23" s="8">
        <v>50079723.084053203</v>
      </c>
      <c r="I23" s="8">
        <v>54926859.994427167</v>
      </c>
      <c r="J23" s="8">
        <v>0</v>
      </c>
      <c r="K23" s="8">
        <v>0</v>
      </c>
      <c r="L23" s="8">
        <v>0</v>
      </c>
      <c r="M23" s="9">
        <v>0</v>
      </c>
      <c r="N23" s="9">
        <v>0</v>
      </c>
      <c r="O23" s="7">
        <f t="shared" si="0"/>
        <v>361063324.83704668</v>
      </c>
    </row>
    <row r="24" spans="2:15" ht="11.25" customHeight="1">
      <c r="B24" s="1" t="s">
        <v>34</v>
      </c>
      <c r="C24" s="7">
        <v>87634917.798703328</v>
      </c>
      <c r="D24" s="8">
        <v>66787648.686779574</v>
      </c>
      <c r="E24" s="8">
        <v>91597204.352552474</v>
      </c>
      <c r="F24" s="8">
        <v>88132295.802021235</v>
      </c>
      <c r="G24" s="8">
        <v>80471959.841000438</v>
      </c>
      <c r="H24" s="8">
        <v>90549774.174211562</v>
      </c>
      <c r="I24" s="8">
        <v>56277445.320959948</v>
      </c>
      <c r="J24" s="8">
        <v>0</v>
      </c>
      <c r="K24" s="8">
        <v>0</v>
      </c>
      <c r="L24" s="8">
        <v>0</v>
      </c>
      <c r="M24" s="9">
        <v>0</v>
      </c>
      <c r="N24" s="9">
        <v>0</v>
      </c>
      <c r="O24" s="7">
        <f t="shared" si="0"/>
        <v>561451245.97622859</v>
      </c>
    </row>
    <row r="25" spans="2:15" ht="11.25" customHeight="1">
      <c r="B25" s="6" t="s">
        <v>35</v>
      </c>
      <c r="C25" s="7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9">
        <v>0</v>
      </c>
      <c r="N25" s="9">
        <v>0</v>
      </c>
      <c r="O25" s="7">
        <f t="shared" si="0"/>
        <v>0</v>
      </c>
    </row>
    <row r="26" spans="2:15" ht="11.25" customHeight="1">
      <c r="B26" s="6" t="s">
        <v>36</v>
      </c>
      <c r="C26" s="7">
        <v>6881664.2972452017</v>
      </c>
      <c r="D26" s="8">
        <v>5378843.6869010963</v>
      </c>
      <c r="E26" s="8">
        <v>4980453.4937170791</v>
      </c>
      <c r="F26" s="8">
        <v>5190588.7192623615</v>
      </c>
      <c r="G26" s="8">
        <v>5380274.737210623</v>
      </c>
      <c r="H26" s="8">
        <v>5070457.4830434984</v>
      </c>
      <c r="I26" s="8">
        <v>4824098.1723677563</v>
      </c>
      <c r="J26" s="8">
        <v>0</v>
      </c>
      <c r="K26" s="8">
        <v>0</v>
      </c>
      <c r="L26" s="8">
        <v>0</v>
      </c>
      <c r="M26" s="9">
        <v>0</v>
      </c>
      <c r="N26" s="9">
        <v>0</v>
      </c>
      <c r="O26" s="7">
        <f t="shared" si="0"/>
        <v>37706380.589747615</v>
      </c>
    </row>
    <row r="27" spans="2:15" ht="11.25" customHeight="1">
      <c r="B27" s="6" t="s">
        <v>37</v>
      </c>
      <c r="C27" s="7">
        <v>853429.92780316912</v>
      </c>
      <c r="D27" s="8">
        <v>678865.87219445745</v>
      </c>
      <c r="E27" s="8">
        <v>1348143.1868141196</v>
      </c>
      <c r="F27" s="8">
        <v>1434934.9772472165</v>
      </c>
      <c r="G27" s="8">
        <v>81.925243328948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N27" s="9">
        <v>0</v>
      </c>
      <c r="O27" s="7">
        <f t="shared" si="0"/>
        <v>4315455.8893022919</v>
      </c>
    </row>
    <row r="28" spans="2:15" ht="11.25" customHeight="1">
      <c r="B28" s="6" t="s">
        <v>38</v>
      </c>
      <c r="C28" s="7">
        <v>161087624.53968441</v>
      </c>
      <c r="D28" s="8">
        <v>152844153.27084339</v>
      </c>
      <c r="E28" s="8">
        <v>150541130.55410808</v>
      </c>
      <c r="F28" s="8">
        <v>59107976.987080887</v>
      </c>
      <c r="G28" s="8">
        <v>88044933.979269266</v>
      </c>
      <c r="H28" s="8">
        <v>148742574.30602551</v>
      </c>
      <c r="I28" s="8">
        <v>160966929.66579166</v>
      </c>
      <c r="J28" s="8">
        <v>0</v>
      </c>
      <c r="K28" s="8">
        <v>0</v>
      </c>
      <c r="L28" s="8">
        <v>0</v>
      </c>
      <c r="M28" s="9">
        <v>0</v>
      </c>
      <c r="N28" s="9">
        <v>0</v>
      </c>
      <c r="O28" s="7">
        <f t="shared" si="0"/>
        <v>921335323.30280316</v>
      </c>
    </row>
    <row r="29" spans="2:15" ht="11.25" customHeight="1">
      <c r="B29" s="6" t="s">
        <v>39</v>
      </c>
      <c r="C29" s="7">
        <v>15866077.895567596</v>
      </c>
      <c r="D29" s="8">
        <v>14326026.088855848</v>
      </c>
      <c r="E29" s="8">
        <v>11901323.893933646</v>
      </c>
      <c r="F29" s="8">
        <v>29948740.570667036</v>
      </c>
      <c r="G29" s="8">
        <v>20038354.617952213</v>
      </c>
      <c r="H29" s="8">
        <v>17158552.194155656</v>
      </c>
      <c r="I29" s="8">
        <v>15510550.743473439</v>
      </c>
      <c r="J29" s="8">
        <v>0</v>
      </c>
      <c r="K29" s="8">
        <v>0</v>
      </c>
      <c r="L29" s="8">
        <v>0</v>
      </c>
      <c r="M29" s="9">
        <v>0</v>
      </c>
      <c r="N29" s="9">
        <v>0</v>
      </c>
      <c r="O29" s="7">
        <f t="shared" si="0"/>
        <v>124749626.00460544</v>
      </c>
    </row>
    <row r="30" spans="2:15" ht="11.25" customHeight="1">
      <c r="B30" s="6" t="s">
        <v>40</v>
      </c>
      <c r="C30" s="7">
        <v>4118743.5981214666</v>
      </c>
      <c r="D30" s="8">
        <v>2714047.1044692597</v>
      </c>
      <c r="E30" s="8">
        <v>3783879.0758498842</v>
      </c>
      <c r="F30" s="8">
        <v>4528664.8685593912</v>
      </c>
      <c r="G30" s="8">
        <v>3605437.7429592717</v>
      </c>
      <c r="H30" s="8">
        <v>2568115.232904545</v>
      </c>
      <c r="I30" s="8">
        <v>2936043.8571496885</v>
      </c>
      <c r="J30" s="8">
        <v>0</v>
      </c>
      <c r="K30" s="8">
        <v>0</v>
      </c>
      <c r="L30" s="8">
        <v>0</v>
      </c>
      <c r="M30" s="9">
        <v>0</v>
      </c>
      <c r="N30" s="9">
        <v>0</v>
      </c>
      <c r="O30" s="7">
        <f t="shared" si="0"/>
        <v>24254931.480013505</v>
      </c>
    </row>
    <row r="31" spans="2:15" ht="11.25" customHeight="1">
      <c r="B31" s="6" t="s">
        <v>41</v>
      </c>
      <c r="C31" s="7">
        <v>34741861.687885843</v>
      </c>
      <c r="D31" s="8">
        <v>30807336.244111817</v>
      </c>
      <c r="E31" s="8">
        <v>33407208.217915449</v>
      </c>
      <c r="F31" s="8">
        <v>26619869.509468455</v>
      </c>
      <c r="G31" s="8">
        <v>31213028.847665336</v>
      </c>
      <c r="H31" s="8">
        <v>31722750.244388349</v>
      </c>
      <c r="I31" s="8">
        <v>39258738.218003303</v>
      </c>
      <c r="J31" s="8">
        <v>0</v>
      </c>
      <c r="K31" s="8">
        <v>0</v>
      </c>
      <c r="L31" s="8">
        <v>0</v>
      </c>
      <c r="M31" s="9">
        <v>0</v>
      </c>
      <c r="N31" s="9">
        <v>0</v>
      </c>
      <c r="O31" s="7">
        <f t="shared" si="0"/>
        <v>227770792.96943852</v>
      </c>
    </row>
    <row r="32" spans="2:15" ht="11.45" customHeight="1">
      <c r="B32" s="6" t="s">
        <v>42</v>
      </c>
      <c r="C32" s="7">
        <v>276707.53768844233</v>
      </c>
      <c r="D32" s="8">
        <v>289080.40201005043</v>
      </c>
      <c r="E32" s="8">
        <v>198034.17085427124</v>
      </c>
      <c r="F32" s="8">
        <v>208817.08542713584</v>
      </c>
      <c r="G32" s="8">
        <v>211628.1407035178</v>
      </c>
      <c r="H32" s="8">
        <v>217240.20100502492</v>
      </c>
      <c r="I32" s="8">
        <v>339345.72864321602</v>
      </c>
      <c r="J32" s="8">
        <v>0</v>
      </c>
      <c r="K32" s="8">
        <v>0</v>
      </c>
      <c r="L32" s="8">
        <v>0</v>
      </c>
      <c r="M32" s="9">
        <v>0</v>
      </c>
      <c r="N32" s="9">
        <v>0</v>
      </c>
      <c r="O32" s="7">
        <f t="shared" si="0"/>
        <v>1740853.2663316585</v>
      </c>
    </row>
    <row r="33" spans="2:15" ht="11.45" customHeight="1">
      <c r="B33" s="6" t="s">
        <v>43</v>
      </c>
      <c r="C33" s="7">
        <v>1398009.1293385213</v>
      </c>
      <c r="D33" s="8">
        <v>1318989.5824418571</v>
      </c>
      <c r="E33" s="8">
        <v>1522740.5376857067</v>
      </c>
      <c r="F33" s="8">
        <v>1402038.0924329427</v>
      </c>
      <c r="G33" s="8">
        <v>1607485.3223382628</v>
      </c>
      <c r="H33" s="8">
        <v>1455387.6498588177</v>
      </c>
      <c r="I33" s="8">
        <v>1328073.952447613</v>
      </c>
      <c r="J33" s="8">
        <v>0</v>
      </c>
      <c r="K33" s="8">
        <v>0</v>
      </c>
      <c r="L33" s="8">
        <v>0</v>
      </c>
      <c r="M33" s="9">
        <v>0</v>
      </c>
      <c r="N33" s="9">
        <v>0</v>
      </c>
      <c r="O33" s="7">
        <f t="shared" si="0"/>
        <v>10032724.266543722</v>
      </c>
    </row>
    <row r="34" spans="2:15" ht="11.45" customHeight="1">
      <c r="B34" s="6" t="s">
        <v>44</v>
      </c>
      <c r="C34" s="7">
        <v>2336263.5122883818</v>
      </c>
      <c r="D34" s="8">
        <v>2175086.3690786134</v>
      </c>
      <c r="E34" s="8">
        <v>2421436.4015025622</v>
      </c>
      <c r="F34" s="8">
        <v>6128412.7610471947</v>
      </c>
      <c r="G34" s="8">
        <v>7249130.7070206581</v>
      </c>
      <c r="H34" s="8">
        <v>6358915.5260814866</v>
      </c>
      <c r="I34" s="8">
        <v>5800511.4260446317</v>
      </c>
      <c r="J34" s="8">
        <v>0</v>
      </c>
      <c r="K34" s="8">
        <v>0</v>
      </c>
      <c r="L34" s="8">
        <v>0</v>
      </c>
      <c r="M34" s="9">
        <v>0</v>
      </c>
      <c r="N34" s="9">
        <v>0</v>
      </c>
      <c r="O34" s="7">
        <f t="shared" si="0"/>
        <v>32469756.703063529</v>
      </c>
    </row>
    <row r="35" spans="2:15" ht="11.45" customHeight="1">
      <c r="B35" s="6" t="s">
        <v>45</v>
      </c>
      <c r="C35" s="7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9">
        <v>0</v>
      </c>
      <c r="N35" s="9">
        <v>0</v>
      </c>
      <c r="O35" s="7">
        <f t="shared" si="0"/>
        <v>0</v>
      </c>
    </row>
    <row r="36" spans="2:15" ht="11.45" customHeight="1">
      <c r="B36" s="6" t="s">
        <v>46</v>
      </c>
      <c r="C36" s="7">
        <v>9769068.7063639555</v>
      </c>
      <c r="D36" s="8">
        <v>7938700.5436096033</v>
      </c>
      <c r="E36" s="8">
        <v>12176438.625301717</v>
      </c>
      <c r="F36" s="8">
        <v>17486462.682007261</v>
      </c>
      <c r="G36" s="8">
        <v>11996594.699263154</v>
      </c>
      <c r="H36" s="8">
        <v>13549157.557679966</v>
      </c>
      <c r="I36" s="8">
        <v>15337921.392597295</v>
      </c>
      <c r="J36" s="8">
        <v>0</v>
      </c>
      <c r="K36" s="8">
        <v>0</v>
      </c>
      <c r="L36" s="8">
        <v>0</v>
      </c>
      <c r="M36" s="9">
        <v>0</v>
      </c>
      <c r="N36" s="9">
        <v>0</v>
      </c>
      <c r="O36" s="7">
        <f t="shared" si="0"/>
        <v>88254344.206822962</v>
      </c>
    </row>
    <row r="37" spans="2:15" ht="11.45" customHeight="1">
      <c r="B37" s="6" t="s">
        <v>47</v>
      </c>
      <c r="C37" s="7">
        <v>3774583.473123759</v>
      </c>
      <c r="D37" s="8">
        <v>3233848.5357142226</v>
      </c>
      <c r="E37" s="8">
        <v>3030379.7718898393</v>
      </c>
      <c r="F37" s="8">
        <v>2548084.2542116609</v>
      </c>
      <c r="G37" s="8">
        <v>3504710.3720957288</v>
      </c>
      <c r="H37" s="8">
        <v>3338336.5209804</v>
      </c>
      <c r="I37" s="8">
        <v>4105221.1907289852</v>
      </c>
      <c r="J37" s="8">
        <v>0</v>
      </c>
      <c r="K37" s="8">
        <v>0</v>
      </c>
      <c r="L37" s="8">
        <v>0</v>
      </c>
      <c r="M37" s="9">
        <v>0</v>
      </c>
      <c r="N37" s="9">
        <v>0</v>
      </c>
      <c r="O37" s="7">
        <f t="shared" si="0"/>
        <v>23535164.118744593</v>
      </c>
    </row>
    <row r="38" spans="2:15" ht="11.45" customHeight="1">
      <c r="B38" s="6" t="s">
        <v>48</v>
      </c>
      <c r="C38" s="7">
        <v>216107.53768844201</v>
      </c>
      <c r="D38" s="8">
        <v>0</v>
      </c>
      <c r="E38" s="8">
        <v>695488.44221105438</v>
      </c>
      <c r="F38" s="8">
        <v>600897.48743719282</v>
      </c>
      <c r="G38" s="8">
        <v>327054.2713567852</v>
      </c>
      <c r="H38" s="8">
        <v>536105.52763819438</v>
      </c>
      <c r="I38" s="8">
        <v>237419.09547738676</v>
      </c>
      <c r="J38" s="8">
        <v>0</v>
      </c>
      <c r="K38" s="8">
        <v>0</v>
      </c>
      <c r="L38" s="8">
        <v>0</v>
      </c>
      <c r="M38" s="9">
        <v>0</v>
      </c>
      <c r="N38" s="9">
        <v>0</v>
      </c>
      <c r="O38" s="7">
        <f t="shared" si="0"/>
        <v>2613072.3618090558</v>
      </c>
    </row>
    <row r="39" spans="2:15" ht="11.45" customHeight="1">
      <c r="B39" s="6" t="s">
        <v>49</v>
      </c>
      <c r="C39" s="7">
        <v>923768.55630989338</v>
      </c>
      <c r="D39" s="8">
        <v>1073114.7890691927</v>
      </c>
      <c r="E39" s="8">
        <v>1012252.2800025489</v>
      </c>
      <c r="F39" s="8">
        <v>1383754.8033339323</v>
      </c>
      <c r="G39" s="8">
        <v>1476849.5762422292</v>
      </c>
      <c r="H39" s="8">
        <v>1437572.0833957363</v>
      </c>
      <c r="I39" s="8">
        <v>1354181.768920989</v>
      </c>
      <c r="J39" s="8">
        <v>0</v>
      </c>
      <c r="K39" s="8">
        <v>0</v>
      </c>
      <c r="L39" s="8">
        <v>0</v>
      </c>
      <c r="M39" s="9">
        <v>0</v>
      </c>
      <c r="N39" s="9">
        <v>0</v>
      </c>
      <c r="O39" s="7">
        <f t="shared" si="0"/>
        <v>8661493.8572745211</v>
      </c>
    </row>
    <row r="40" spans="2:15" ht="11.45" customHeight="1">
      <c r="B40" s="6" t="s">
        <v>50</v>
      </c>
      <c r="C40" s="7">
        <v>4064954.0873363228</v>
      </c>
      <c r="D40" s="8">
        <v>4212621.6533369739</v>
      </c>
      <c r="E40" s="8">
        <v>4923894.2838350721</v>
      </c>
      <c r="F40" s="8">
        <v>5952304.7818687912</v>
      </c>
      <c r="G40" s="8">
        <v>6921638.6047173999</v>
      </c>
      <c r="H40" s="8">
        <v>6694198.4201830039</v>
      </c>
      <c r="I40" s="8">
        <v>6795935.1823030952</v>
      </c>
      <c r="J40" s="8">
        <v>0</v>
      </c>
      <c r="K40" s="8">
        <v>0</v>
      </c>
      <c r="L40" s="8">
        <v>0</v>
      </c>
      <c r="M40" s="9">
        <v>0</v>
      </c>
      <c r="N40" s="9">
        <v>0</v>
      </c>
      <c r="O40" s="7">
        <f t="shared" si="0"/>
        <v>39565547.013580658</v>
      </c>
    </row>
    <row r="41" spans="2:15" ht="11.45" customHeight="1">
      <c r="B41" s="6" t="s">
        <v>51</v>
      </c>
      <c r="C41" s="7">
        <v>3415823.8472282793</v>
      </c>
      <c r="D41" s="8">
        <v>2484362.2242822731</v>
      </c>
      <c r="E41" s="8">
        <v>1402160.0134647223</v>
      </c>
      <c r="F41" s="8">
        <v>0</v>
      </c>
      <c r="G41" s="8">
        <v>0</v>
      </c>
      <c r="H41" s="8">
        <v>1.3725490099999999E-4</v>
      </c>
      <c r="I41" s="8">
        <v>0</v>
      </c>
      <c r="J41" s="8">
        <v>0</v>
      </c>
      <c r="K41" s="8">
        <v>0</v>
      </c>
      <c r="L41" s="8">
        <v>0</v>
      </c>
      <c r="M41" s="9">
        <v>0</v>
      </c>
      <c r="N41" s="9">
        <v>0</v>
      </c>
      <c r="O41" s="7">
        <f t="shared" si="0"/>
        <v>7302346.0851125289</v>
      </c>
    </row>
    <row r="42" spans="2:15" ht="11.45" customHeight="1">
      <c r="B42" s="6" t="s">
        <v>52</v>
      </c>
      <c r="C42" s="7">
        <v>13872733.740633735</v>
      </c>
      <c r="D42" s="8">
        <v>11312509.187499613</v>
      </c>
      <c r="E42" s="8">
        <v>12019783.857712626</v>
      </c>
      <c r="F42" s="8">
        <v>10986471.325463388</v>
      </c>
      <c r="G42" s="8">
        <v>23709163.493480101</v>
      </c>
      <c r="H42" s="8">
        <v>19982787.357764646</v>
      </c>
      <c r="I42" s="8">
        <v>15218507.385476528</v>
      </c>
      <c r="J42" s="8">
        <v>0</v>
      </c>
      <c r="K42" s="8">
        <v>0</v>
      </c>
      <c r="L42" s="8">
        <v>0</v>
      </c>
      <c r="M42" s="9">
        <v>0</v>
      </c>
      <c r="N42" s="9">
        <v>0</v>
      </c>
      <c r="O42" s="7">
        <f t="shared" si="0"/>
        <v>107101956.34803064</v>
      </c>
    </row>
    <row r="43" spans="2:15" ht="11.45" customHeight="1">
      <c r="B43" s="6" t="s">
        <v>53</v>
      </c>
      <c r="C43" s="7">
        <v>5929902.9364664312</v>
      </c>
      <c r="D43" s="8">
        <v>6540307.3934438508</v>
      </c>
      <c r="E43" s="8">
        <v>5417809.7619899521</v>
      </c>
      <c r="F43" s="8">
        <v>7661998.1662399257</v>
      </c>
      <c r="G43" s="8">
        <v>8368532.1510018893</v>
      </c>
      <c r="H43" s="8">
        <v>8585762.9617048185</v>
      </c>
      <c r="I43" s="8">
        <v>7963487.0570247555</v>
      </c>
      <c r="J43" s="8">
        <v>0</v>
      </c>
      <c r="K43" s="8">
        <v>0</v>
      </c>
      <c r="L43" s="8">
        <v>0</v>
      </c>
      <c r="M43" s="9">
        <v>0</v>
      </c>
      <c r="N43" s="9">
        <v>0</v>
      </c>
      <c r="O43" s="7">
        <f t="shared" si="0"/>
        <v>50467800.427871622</v>
      </c>
    </row>
    <row r="44" spans="2:15" ht="11.45" customHeight="1">
      <c r="B44" s="6" t="s">
        <v>54</v>
      </c>
      <c r="C44" s="7">
        <v>14486162.925163444</v>
      </c>
      <c r="D44" s="8">
        <v>18306238.6308368</v>
      </c>
      <c r="E44" s="8">
        <v>29822490.176563919</v>
      </c>
      <c r="F44" s="8">
        <v>32301740.782148022</v>
      </c>
      <c r="G44" s="8">
        <v>20715808.784126196</v>
      </c>
      <c r="H44" s="8">
        <v>21580627.079127382</v>
      </c>
      <c r="I44" s="8">
        <v>20024478.018514108</v>
      </c>
      <c r="J44" s="8">
        <v>0</v>
      </c>
      <c r="K44" s="8">
        <v>0</v>
      </c>
      <c r="L44" s="8">
        <v>0</v>
      </c>
      <c r="M44" s="9">
        <v>0</v>
      </c>
      <c r="N44" s="9">
        <v>0</v>
      </c>
      <c r="O44" s="7">
        <f t="shared" si="0"/>
        <v>157237546.39647985</v>
      </c>
    </row>
    <row r="45" spans="2:15" ht="11.45" customHeight="1">
      <c r="B45" s="6" t="s">
        <v>55</v>
      </c>
      <c r="C45" s="7">
        <v>4716656.1900903359</v>
      </c>
      <c r="D45" s="8">
        <v>5380747.6287033577</v>
      </c>
      <c r="E45" s="8">
        <v>5617646.781206823</v>
      </c>
      <c r="F45" s="8">
        <v>6950479.2195052002</v>
      </c>
      <c r="G45" s="8">
        <v>7656746.7062128494</v>
      </c>
      <c r="H45" s="8">
        <v>7331870.0055930009</v>
      </c>
      <c r="I45" s="8">
        <v>7100668.3231060877</v>
      </c>
      <c r="J45" s="8">
        <v>0</v>
      </c>
      <c r="K45" s="8">
        <v>0</v>
      </c>
      <c r="L45" s="8">
        <v>0</v>
      </c>
      <c r="M45" s="9">
        <v>0</v>
      </c>
      <c r="N45" s="9">
        <v>0</v>
      </c>
      <c r="O45" s="7">
        <f t="shared" si="0"/>
        <v>44754814.854417652</v>
      </c>
    </row>
    <row r="46" spans="2:15" ht="11.45" customHeight="1">
      <c r="B46" s="6" t="s">
        <v>56</v>
      </c>
      <c r="C46" s="7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9">
        <v>0</v>
      </c>
      <c r="N46" s="9">
        <v>0</v>
      </c>
      <c r="O46" s="7">
        <f t="shared" si="0"/>
        <v>0</v>
      </c>
    </row>
    <row r="47" spans="2:15" ht="11.45" customHeight="1">
      <c r="B47" s="6" t="s">
        <v>57</v>
      </c>
      <c r="C47" s="7">
        <v>28272107.787182789</v>
      </c>
      <c r="D47" s="8">
        <v>27263890.80583683</v>
      </c>
      <c r="E47" s="8">
        <v>23619104.019432403</v>
      </c>
      <c r="F47" s="8">
        <v>30118205.665333536</v>
      </c>
      <c r="G47" s="8">
        <v>31897845.735620257</v>
      </c>
      <c r="H47" s="8">
        <v>30062875.258315153</v>
      </c>
      <c r="I47" s="8">
        <v>34897386.764512174</v>
      </c>
      <c r="J47" s="8">
        <v>0</v>
      </c>
      <c r="K47" s="8">
        <v>0</v>
      </c>
      <c r="L47" s="8">
        <v>0</v>
      </c>
      <c r="M47" s="9">
        <v>0</v>
      </c>
      <c r="N47" s="9">
        <v>0</v>
      </c>
      <c r="O47" s="7">
        <f t="shared" si="0"/>
        <v>206131416.03623316</v>
      </c>
    </row>
    <row r="48" spans="2:15" ht="11.45" customHeight="1">
      <c r="B48" s="6" t="s">
        <v>58</v>
      </c>
      <c r="C48" s="7">
        <v>1965272.0999925025</v>
      </c>
      <c r="D48" s="8">
        <v>1599759.425452787</v>
      </c>
      <c r="E48" s="8">
        <v>2946084.8454390094</v>
      </c>
      <c r="F48" s="8">
        <v>4707522.8646922018</v>
      </c>
      <c r="G48" s="8">
        <v>4851562.177908103</v>
      </c>
      <c r="H48" s="8">
        <v>5262157.6415782142</v>
      </c>
      <c r="I48" s="8">
        <v>5463789.9972718349</v>
      </c>
      <c r="J48" s="8">
        <v>0</v>
      </c>
      <c r="K48" s="8">
        <v>0</v>
      </c>
      <c r="L48" s="8">
        <v>0</v>
      </c>
      <c r="M48" s="9">
        <v>0</v>
      </c>
      <c r="N48" s="9">
        <v>0</v>
      </c>
      <c r="O48" s="7">
        <f t="shared" si="0"/>
        <v>26796149.052334651</v>
      </c>
    </row>
    <row r="49" spans="2:15" ht="11.45" customHeight="1">
      <c r="B49" s="6" t="s">
        <v>59</v>
      </c>
      <c r="C49" s="7">
        <v>7202449.7268605968</v>
      </c>
      <c r="D49" s="8">
        <v>5065057.6937145609</v>
      </c>
      <c r="E49" s="8">
        <v>6332668.9660059661</v>
      </c>
      <c r="F49" s="8">
        <v>15778213.04982771</v>
      </c>
      <c r="G49" s="8">
        <v>10215475.997711549</v>
      </c>
      <c r="H49" s="8">
        <v>7542232.5316626821</v>
      </c>
      <c r="I49" s="8">
        <v>8891427.9691442624</v>
      </c>
      <c r="J49" s="8">
        <v>0</v>
      </c>
      <c r="K49" s="8">
        <v>0</v>
      </c>
      <c r="L49" s="8">
        <v>0</v>
      </c>
      <c r="M49" s="9">
        <v>0</v>
      </c>
      <c r="N49" s="9">
        <v>0</v>
      </c>
      <c r="O49" s="7">
        <f t="shared" si="0"/>
        <v>61027525.934927322</v>
      </c>
    </row>
    <row r="50" spans="2:15" ht="11.45" customHeight="1">
      <c r="B50" s="6" t="s">
        <v>60</v>
      </c>
      <c r="C50" s="7">
        <v>122598045.49008858</v>
      </c>
      <c r="D50" s="8">
        <v>156208735.88635767</v>
      </c>
      <c r="E50" s="8">
        <v>12615470.912204258</v>
      </c>
      <c r="F50" s="8">
        <v>80872207.312775075</v>
      </c>
      <c r="G50" s="8">
        <v>179850260.67973065</v>
      </c>
      <c r="H50" s="8">
        <v>166134988.7278727</v>
      </c>
      <c r="I50" s="8">
        <v>154123228.16991574</v>
      </c>
      <c r="J50" s="8">
        <v>0</v>
      </c>
      <c r="K50" s="8">
        <v>0</v>
      </c>
      <c r="L50" s="8">
        <v>0</v>
      </c>
      <c r="M50" s="9">
        <v>0</v>
      </c>
      <c r="N50" s="9">
        <v>0</v>
      </c>
      <c r="O50" s="7">
        <f t="shared" si="0"/>
        <v>872402937.17894483</v>
      </c>
    </row>
    <row r="51" spans="2:15" ht="11.45" customHeight="1">
      <c r="B51" s="6" t="s">
        <v>61</v>
      </c>
      <c r="C51" s="7">
        <v>10465697.022322455</v>
      </c>
      <c r="D51" s="8">
        <v>8564450.6628511418</v>
      </c>
      <c r="E51" s="8">
        <v>15983559.047372185</v>
      </c>
      <c r="F51" s="8">
        <v>7667867.90856947</v>
      </c>
      <c r="G51" s="8">
        <v>15409561.102260461</v>
      </c>
      <c r="H51" s="8">
        <v>15453260.119081197</v>
      </c>
      <c r="I51" s="8">
        <v>19854566.485732067</v>
      </c>
      <c r="J51" s="8">
        <v>0</v>
      </c>
      <c r="K51" s="8">
        <v>0</v>
      </c>
      <c r="L51" s="8">
        <v>0</v>
      </c>
      <c r="M51" s="9">
        <v>0</v>
      </c>
      <c r="N51" s="9">
        <v>0</v>
      </c>
      <c r="O51" s="7">
        <f t="shared" si="0"/>
        <v>93398962.348188967</v>
      </c>
    </row>
    <row r="52" spans="2:15" ht="11.45" customHeight="1">
      <c r="B52" s="6" t="s">
        <v>62</v>
      </c>
      <c r="C52" s="7">
        <v>12429845.037664533</v>
      </c>
      <c r="D52" s="8">
        <v>11564224.206615072</v>
      </c>
      <c r="E52" s="8">
        <v>17526931.891097888</v>
      </c>
      <c r="F52" s="8">
        <v>11289640.487655496</v>
      </c>
      <c r="G52" s="8">
        <v>15326223.243408445</v>
      </c>
      <c r="H52" s="8">
        <v>14426140.17166847</v>
      </c>
      <c r="I52" s="8">
        <v>18571854.527195815</v>
      </c>
      <c r="J52" s="8">
        <v>0</v>
      </c>
      <c r="K52" s="8">
        <v>0</v>
      </c>
      <c r="L52" s="8">
        <v>0</v>
      </c>
      <c r="M52" s="9">
        <v>0</v>
      </c>
      <c r="N52" s="9">
        <v>0</v>
      </c>
      <c r="O52" s="7">
        <f t="shared" si="0"/>
        <v>101134859.56530572</v>
      </c>
    </row>
    <row r="53" spans="2:15" ht="11.45" customHeight="1">
      <c r="B53" s="6" t="s">
        <v>63</v>
      </c>
      <c r="C53" s="7">
        <v>15016078.690781711</v>
      </c>
      <c r="D53" s="8">
        <v>6308692.6281307638</v>
      </c>
      <c r="E53" s="8">
        <v>16902414.215834748</v>
      </c>
      <c r="F53" s="8">
        <v>9351297.1165628843</v>
      </c>
      <c r="G53" s="8">
        <v>20731993.24421715</v>
      </c>
      <c r="H53" s="8">
        <v>17998926.287603945</v>
      </c>
      <c r="I53" s="8">
        <v>20660238.482496101</v>
      </c>
      <c r="J53" s="8">
        <v>0</v>
      </c>
      <c r="K53" s="8">
        <v>0</v>
      </c>
      <c r="L53" s="8">
        <v>0</v>
      </c>
      <c r="M53" s="9">
        <v>0</v>
      </c>
      <c r="N53" s="9">
        <v>0</v>
      </c>
      <c r="O53" s="7">
        <f t="shared" si="0"/>
        <v>106969640.66562732</v>
      </c>
    </row>
    <row r="54" spans="2:15" ht="11.45" customHeight="1">
      <c r="B54" s="6" t="s">
        <v>64</v>
      </c>
      <c r="C54" s="7">
        <v>11200063.682545988</v>
      </c>
      <c r="D54" s="8">
        <v>7319060.0237990795</v>
      </c>
      <c r="E54" s="8">
        <v>15170865.382462734</v>
      </c>
      <c r="F54" s="8">
        <v>6329308.8236038871</v>
      </c>
      <c r="G54" s="8">
        <v>14637732.692766909</v>
      </c>
      <c r="H54" s="8">
        <v>14223903.775266653</v>
      </c>
      <c r="I54" s="8">
        <v>16417072.797913017</v>
      </c>
      <c r="J54" s="8">
        <v>0</v>
      </c>
      <c r="K54" s="8">
        <v>0</v>
      </c>
      <c r="L54" s="8">
        <v>0</v>
      </c>
      <c r="M54" s="9">
        <v>0</v>
      </c>
      <c r="N54" s="9">
        <v>0</v>
      </c>
      <c r="O54" s="7">
        <f t="shared" si="0"/>
        <v>85298007.178358257</v>
      </c>
    </row>
    <row r="55" spans="2:15" ht="11.45" customHeight="1">
      <c r="B55" s="6" t="s">
        <v>65</v>
      </c>
      <c r="C55" s="7">
        <v>13356955.073742213</v>
      </c>
      <c r="D55" s="8">
        <v>7563746.8652891535</v>
      </c>
      <c r="E55" s="8">
        <v>19634353.244470496</v>
      </c>
      <c r="F55" s="8">
        <v>8215171.8340070546</v>
      </c>
      <c r="G55" s="8">
        <v>20825639.027208712</v>
      </c>
      <c r="H55" s="8">
        <v>20842557.039130315</v>
      </c>
      <c r="I55" s="8">
        <v>24596413.758840766</v>
      </c>
      <c r="J55" s="8">
        <v>0</v>
      </c>
      <c r="K55" s="8">
        <v>0</v>
      </c>
      <c r="L55" s="8">
        <v>0</v>
      </c>
      <c r="M55" s="9">
        <v>0</v>
      </c>
      <c r="N55" s="9">
        <v>0</v>
      </c>
      <c r="O55" s="7">
        <f t="shared" si="0"/>
        <v>115034836.84268871</v>
      </c>
    </row>
    <row r="56" spans="2:15" ht="11.45" customHeight="1">
      <c r="B56" s="6" t="s">
        <v>66</v>
      </c>
      <c r="C56" s="7">
        <v>11541198.501308139</v>
      </c>
      <c r="D56" s="8">
        <v>11093702.610303074</v>
      </c>
      <c r="E56" s="8">
        <v>17276633.999602281</v>
      </c>
      <c r="F56" s="8">
        <v>8774696.7483631186</v>
      </c>
      <c r="G56" s="8">
        <v>19728184.437176801</v>
      </c>
      <c r="H56" s="8">
        <v>19532255.828835342</v>
      </c>
      <c r="I56" s="8">
        <v>23216581.546738051</v>
      </c>
      <c r="J56" s="8">
        <v>0</v>
      </c>
      <c r="K56" s="8">
        <v>0</v>
      </c>
      <c r="L56" s="8">
        <v>0</v>
      </c>
      <c r="M56" s="9">
        <v>0</v>
      </c>
      <c r="N56" s="9">
        <v>0</v>
      </c>
      <c r="O56" s="7">
        <f t="shared" si="0"/>
        <v>111163253.6723268</v>
      </c>
    </row>
    <row r="57" spans="2:15" ht="11.45" customHeight="1">
      <c r="B57" s="6" t="s">
        <v>67</v>
      </c>
      <c r="C57" s="7">
        <v>8674774.704824293</v>
      </c>
      <c r="D57" s="8">
        <v>8310556.0875918148</v>
      </c>
      <c r="E57" s="8">
        <v>13293399.443892756</v>
      </c>
      <c r="F57" s="8">
        <v>6911828.6379135903</v>
      </c>
      <c r="G57" s="8">
        <v>15053166.567671461</v>
      </c>
      <c r="H57" s="8">
        <v>15098383.883913664</v>
      </c>
      <c r="I57" s="8">
        <v>18524577.244722582</v>
      </c>
      <c r="J57" s="8">
        <v>0</v>
      </c>
      <c r="K57" s="8">
        <v>0</v>
      </c>
      <c r="L57" s="8">
        <v>0</v>
      </c>
      <c r="M57" s="9">
        <v>0</v>
      </c>
      <c r="N57" s="9">
        <v>0</v>
      </c>
      <c r="O57" s="7">
        <f t="shared" si="0"/>
        <v>85866686.570530176</v>
      </c>
    </row>
    <row r="58" spans="2:15" ht="11.45" customHeight="1">
      <c r="B58" s="6" t="s">
        <v>68</v>
      </c>
      <c r="C58" s="7">
        <v>8502541.2629341297</v>
      </c>
      <c r="D58" s="8">
        <v>6595950.2315340741</v>
      </c>
      <c r="E58" s="8">
        <v>10777358.230202196</v>
      </c>
      <c r="F58" s="8">
        <v>5574133.2749162344</v>
      </c>
      <c r="G58" s="8">
        <v>12906962.162016021</v>
      </c>
      <c r="H58" s="8">
        <v>11330098.50214717</v>
      </c>
      <c r="I58" s="8">
        <v>16190695.350297803</v>
      </c>
      <c r="J58" s="8">
        <v>0</v>
      </c>
      <c r="K58" s="8">
        <v>0</v>
      </c>
      <c r="L58" s="8">
        <v>0</v>
      </c>
      <c r="M58" s="9">
        <v>0</v>
      </c>
      <c r="N58" s="9">
        <v>0</v>
      </c>
      <c r="O58" s="7">
        <f t="shared" si="0"/>
        <v>71877739.014047638</v>
      </c>
    </row>
    <row r="59" spans="2:15" ht="11.45" customHeight="1">
      <c r="B59" s="6" t="s">
        <v>69</v>
      </c>
      <c r="C59" s="7">
        <v>5025071.0676654167</v>
      </c>
      <c r="D59" s="8">
        <v>6014370.51941159</v>
      </c>
      <c r="E59" s="8">
        <v>5511626.9086990263</v>
      </c>
      <c r="F59" s="8">
        <v>6498312.6234952025</v>
      </c>
      <c r="G59" s="8">
        <v>7290220.9531823304</v>
      </c>
      <c r="H59" s="8">
        <v>7233680.7201072564</v>
      </c>
      <c r="I59" s="8">
        <v>7703309.0457102144</v>
      </c>
      <c r="J59" s="8">
        <v>0</v>
      </c>
      <c r="K59" s="8">
        <v>0</v>
      </c>
      <c r="L59" s="8">
        <v>0</v>
      </c>
      <c r="M59" s="9">
        <v>0</v>
      </c>
      <c r="N59" s="9">
        <v>0</v>
      </c>
      <c r="O59" s="7">
        <f t="shared" si="0"/>
        <v>45276591.838271037</v>
      </c>
    </row>
    <row r="60" spans="2:15" ht="11.45" customHeight="1">
      <c r="B60" s="6" t="s">
        <v>70</v>
      </c>
      <c r="C60" s="7">
        <v>7148906.9532125574</v>
      </c>
      <c r="D60" s="8">
        <v>9574526.4025893044</v>
      </c>
      <c r="E60" s="8">
        <v>7441208.1439642105</v>
      </c>
      <c r="F60" s="8">
        <v>11056306.512437295</v>
      </c>
      <c r="G60" s="8">
        <v>14239891.311800027</v>
      </c>
      <c r="H60" s="8">
        <v>12665887.531890251</v>
      </c>
      <c r="I60" s="8">
        <v>12311167.73410557</v>
      </c>
      <c r="J60" s="8">
        <v>0</v>
      </c>
      <c r="K60" s="8">
        <v>0</v>
      </c>
      <c r="L60" s="8">
        <v>0</v>
      </c>
      <c r="M60" s="9">
        <v>0</v>
      </c>
      <c r="N60" s="9">
        <v>0</v>
      </c>
      <c r="O60" s="7">
        <f t="shared" si="0"/>
        <v>74437894.589999214</v>
      </c>
    </row>
    <row r="61" spans="2:15" ht="11.45" customHeight="1">
      <c r="B61" s="6" t="s">
        <v>71</v>
      </c>
      <c r="C61" s="7">
        <v>4421723.9307169532</v>
      </c>
      <c r="D61" s="8">
        <v>5374761.4449509745</v>
      </c>
      <c r="E61" s="8">
        <v>5214342.4720845139</v>
      </c>
      <c r="F61" s="8">
        <v>6901258.6908695651</v>
      </c>
      <c r="G61" s="8">
        <v>7371262.1213075761</v>
      </c>
      <c r="H61" s="8">
        <v>7107708.534983471</v>
      </c>
      <c r="I61" s="8">
        <v>6867021.6515016323</v>
      </c>
      <c r="J61" s="8">
        <v>0</v>
      </c>
      <c r="K61" s="8">
        <v>0</v>
      </c>
      <c r="L61" s="8">
        <v>0</v>
      </c>
      <c r="M61" s="9">
        <v>0</v>
      </c>
      <c r="N61" s="9">
        <v>0</v>
      </c>
      <c r="O61" s="7">
        <f t="shared" si="0"/>
        <v>43258078.846414685</v>
      </c>
    </row>
    <row r="62" spans="2:15" ht="11.45" customHeight="1">
      <c r="B62" s="6" t="s">
        <v>72</v>
      </c>
      <c r="C62" s="7">
        <v>1928458.7968601077</v>
      </c>
      <c r="D62" s="8">
        <v>2183404.468735279</v>
      </c>
      <c r="E62" s="8">
        <v>2038947.89917742</v>
      </c>
      <c r="F62" s="8">
        <v>2800834.7517688246</v>
      </c>
      <c r="G62" s="8">
        <v>2895574.3746030508</v>
      </c>
      <c r="H62" s="8">
        <v>2869105.5443478879</v>
      </c>
      <c r="I62" s="8">
        <v>2894956.9381084284</v>
      </c>
      <c r="J62" s="8">
        <v>0</v>
      </c>
      <c r="K62" s="8">
        <v>0</v>
      </c>
      <c r="L62" s="8">
        <v>0</v>
      </c>
      <c r="M62" s="9">
        <v>0</v>
      </c>
      <c r="N62" s="9">
        <v>0</v>
      </c>
      <c r="O62" s="7">
        <f t="shared" si="0"/>
        <v>17611282.773600999</v>
      </c>
    </row>
    <row r="63" spans="2:15" ht="11.45" customHeight="1">
      <c r="B63" s="6" t="s">
        <v>73</v>
      </c>
      <c r="C63" s="7">
        <v>4697585.4668435194</v>
      </c>
      <c r="D63" s="8">
        <v>5273538.1590703912</v>
      </c>
      <c r="E63" s="8">
        <v>4845494.7307213685</v>
      </c>
      <c r="F63" s="8">
        <v>6084541.0212368183</v>
      </c>
      <c r="G63" s="8">
        <v>6711117.2640596591</v>
      </c>
      <c r="H63" s="8">
        <v>6676081.3002998186</v>
      </c>
      <c r="I63" s="8">
        <v>5933502.4343760815</v>
      </c>
      <c r="J63" s="8">
        <v>0</v>
      </c>
      <c r="K63" s="8">
        <v>0</v>
      </c>
      <c r="L63" s="8">
        <v>0</v>
      </c>
      <c r="M63" s="9">
        <v>0</v>
      </c>
      <c r="N63" s="9">
        <v>0</v>
      </c>
      <c r="O63" s="7">
        <f t="shared" si="0"/>
        <v>40221860.376607656</v>
      </c>
    </row>
    <row r="64" spans="2:15" ht="11.45" customHeight="1">
      <c r="B64" s="6" t="s">
        <v>74</v>
      </c>
      <c r="C64" s="7">
        <v>9912120.5840013698</v>
      </c>
      <c r="D64" s="8">
        <v>11623805.383659532</v>
      </c>
      <c r="E64" s="8">
        <v>10897994.486692388</v>
      </c>
      <c r="F64" s="8">
        <v>13922645.020165915</v>
      </c>
      <c r="G64" s="8">
        <v>15279866.826336771</v>
      </c>
      <c r="H64" s="8">
        <v>14703252.382404692</v>
      </c>
      <c r="I64" s="8">
        <v>13621640.571286436</v>
      </c>
      <c r="J64" s="8">
        <v>0</v>
      </c>
      <c r="K64" s="8">
        <v>0</v>
      </c>
      <c r="L64" s="8">
        <v>0</v>
      </c>
      <c r="M64" s="9">
        <v>0</v>
      </c>
      <c r="N64" s="9">
        <v>0</v>
      </c>
      <c r="O64" s="7">
        <f t="shared" si="0"/>
        <v>89961325.254547119</v>
      </c>
    </row>
    <row r="65" spans="2:15" ht="11.45" customHeight="1">
      <c r="B65" s="6" t="s">
        <v>75</v>
      </c>
      <c r="C65" s="7">
        <v>6921010.0183064202</v>
      </c>
      <c r="D65" s="8">
        <v>7147605.7271070816</v>
      </c>
      <c r="E65" s="8">
        <v>5636101.2100073257</v>
      </c>
      <c r="F65" s="8">
        <v>8443475.6314517893</v>
      </c>
      <c r="G65" s="8">
        <v>10390584.243155023</v>
      </c>
      <c r="H65" s="8">
        <v>8404801.4602190759</v>
      </c>
      <c r="I65" s="8">
        <v>8829518.9882452432</v>
      </c>
      <c r="J65" s="8">
        <v>0</v>
      </c>
      <c r="K65" s="8">
        <v>0</v>
      </c>
      <c r="L65" s="8">
        <v>0</v>
      </c>
      <c r="M65" s="9">
        <v>0</v>
      </c>
      <c r="N65" s="9">
        <v>0</v>
      </c>
      <c r="O65" s="7">
        <f t="shared" si="0"/>
        <v>55773097.278491959</v>
      </c>
    </row>
    <row r="66" spans="2:15" ht="11.45" customHeight="1">
      <c r="B66" s="6" t="s">
        <v>76</v>
      </c>
      <c r="C66" s="7">
        <v>2780993.8822883009</v>
      </c>
      <c r="D66" s="8">
        <v>3339545.9846393648</v>
      </c>
      <c r="E66" s="8">
        <v>2855400.993219404</v>
      </c>
      <c r="F66" s="8">
        <v>4087757.31855059</v>
      </c>
      <c r="G66" s="8">
        <v>3985787.932017915</v>
      </c>
      <c r="H66" s="8">
        <v>3967520.1750178179</v>
      </c>
      <c r="I66" s="8">
        <v>4247335.9919803441</v>
      </c>
      <c r="J66" s="8">
        <v>0</v>
      </c>
      <c r="K66" s="8">
        <v>0</v>
      </c>
      <c r="L66" s="8">
        <v>0</v>
      </c>
      <c r="M66" s="9">
        <v>0</v>
      </c>
      <c r="N66" s="9">
        <v>0</v>
      </c>
      <c r="O66" s="7">
        <f t="shared" si="0"/>
        <v>25264342.277713738</v>
      </c>
    </row>
    <row r="67" spans="2:15" ht="11.45" customHeight="1">
      <c r="B67" s="1" t="s">
        <v>77</v>
      </c>
      <c r="C67" s="7">
        <v>5320186.4699591761</v>
      </c>
      <c r="D67" s="8">
        <v>6655479.2751474781</v>
      </c>
      <c r="E67" s="8">
        <v>5912714.1119312923</v>
      </c>
      <c r="F67" s="8">
        <v>7650743.4980474375</v>
      </c>
      <c r="G67" s="8">
        <v>8646914.7802082561</v>
      </c>
      <c r="H67" s="8">
        <v>8392215.6446906812</v>
      </c>
      <c r="I67" s="8">
        <v>7864278.2974695619</v>
      </c>
      <c r="J67" s="8">
        <v>0</v>
      </c>
      <c r="K67" s="8">
        <v>0</v>
      </c>
      <c r="L67" s="8">
        <v>0</v>
      </c>
      <c r="M67" s="9">
        <v>0</v>
      </c>
      <c r="N67" s="9">
        <v>0</v>
      </c>
      <c r="O67" s="7">
        <f t="shared" si="0"/>
        <v>50442532.077453889</v>
      </c>
    </row>
    <row r="68" spans="2:15" ht="11.45" customHeight="1">
      <c r="B68" s="6" t="s">
        <v>78</v>
      </c>
      <c r="C68" s="7">
        <v>9638031.0862238966</v>
      </c>
      <c r="D68" s="8">
        <v>12121003.836172339</v>
      </c>
      <c r="E68" s="8">
        <v>8970373.0772626493</v>
      </c>
      <c r="F68" s="8">
        <v>14418622.012079729</v>
      </c>
      <c r="G68" s="8">
        <v>14619352.741589542</v>
      </c>
      <c r="H68" s="8">
        <v>14513587.140513109</v>
      </c>
      <c r="I68" s="8">
        <v>15317429.589879671</v>
      </c>
      <c r="J68" s="8">
        <v>0</v>
      </c>
      <c r="K68" s="8">
        <v>0</v>
      </c>
      <c r="L68" s="8">
        <v>0</v>
      </c>
      <c r="M68" s="9">
        <v>0</v>
      </c>
      <c r="N68" s="9">
        <v>0</v>
      </c>
      <c r="O68" s="7">
        <f t="shared" si="0"/>
        <v>89598399.483720943</v>
      </c>
    </row>
    <row r="69" spans="2:15" ht="11.45" customHeight="1">
      <c r="B69" s="1" t="s">
        <v>79</v>
      </c>
      <c r="C69" s="7">
        <v>5133648.361913342</v>
      </c>
      <c r="D69" s="8">
        <v>6484788.9426770378</v>
      </c>
      <c r="E69" s="8">
        <v>6110282.1692017252</v>
      </c>
      <c r="F69" s="8">
        <v>7330765.7156893136</v>
      </c>
      <c r="G69" s="8">
        <v>7626441.7722437931</v>
      </c>
      <c r="H69" s="8">
        <v>7843509.2099995781</v>
      </c>
      <c r="I69" s="8">
        <v>8121588.8221088247</v>
      </c>
      <c r="J69" s="8">
        <v>0</v>
      </c>
      <c r="K69" s="8">
        <v>0</v>
      </c>
      <c r="L69" s="8">
        <v>0</v>
      </c>
      <c r="M69" s="9">
        <v>0</v>
      </c>
      <c r="N69" s="9">
        <v>0</v>
      </c>
      <c r="O69" s="7">
        <f t="shared" si="0"/>
        <v>48651024.993833616</v>
      </c>
    </row>
    <row r="70" spans="2:15" ht="11.45" customHeight="1">
      <c r="B70" s="6" t="s">
        <v>80</v>
      </c>
      <c r="C70" s="7">
        <v>35480796.965828449</v>
      </c>
      <c r="D70" s="8">
        <v>29251157.278803892</v>
      </c>
      <c r="E70" s="8">
        <v>47937660.973371752</v>
      </c>
      <c r="F70" s="8">
        <v>60386074.658213295</v>
      </c>
      <c r="G70" s="8">
        <v>54002777.984578818</v>
      </c>
      <c r="H70" s="8">
        <v>54572810.615464635</v>
      </c>
      <c r="I70" s="8">
        <v>57653528.035121791</v>
      </c>
      <c r="J70" s="8">
        <v>0</v>
      </c>
      <c r="K70" s="8">
        <v>0</v>
      </c>
      <c r="L70" s="8">
        <v>0</v>
      </c>
      <c r="M70" s="9">
        <v>0</v>
      </c>
      <c r="N70" s="9">
        <v>0</v>
      </c>
      <c r="O70" s="7">
        <f t="shared" si="0"/>
        <v>339284806.51138264</v>
      </c>
    </row>
    <row r="71" spans="2:15" ht="11.45" customHeight="1">
      <c r="B71" s="6" t="s">
        <v>81</v>
      </c>
      <c r="C71" s="7">
        <v>7468930.0227581775</v>
      </c>
      <c r="D71" s="8">
        <v>4481078.1138852462</v>
      </c>
      <c r="E71" s="8">
        <v>6746333.7335430123</v>
      </c>
      <c r="F71" s="8">
        <v>16094379.11999888</v>
      </c>
      <c r="G71" s="8">
        <v>8222025.5584856328</v>
      </c>
      <c r="H71" s="8">
        <v>6310388.8380768569</v>
      </c>
      <c r="I71" s="8">
        <v>5133182.0887510143</v>
      </c>
      <c r="J71" s="8">
        <v>0</v>
      </c>
      <c r="K71" s="8">
        <v>0</v>
      </c>
      <c r="L71" s="8">
        <v>0</v>
      </c>
      <c r="M71" s="9">
        <v>0</v>
      </c>
      <c r="N71" s="9">
        <v>0</v>
      </c>
      <c r="O71" s="7">
        <f t="shared" si="0"/>
        <v>54456317.475498825</v>
      </c>
    </row>
    <row r="72" spans="2:15" ht="11.45" customHeight="1">
      <c r="B72" s="6" t="s">
        <v>82</v>
      </c>
      <c r="C72" s="7">
        <v>31495499.037515257</v>
      </c>
      <c r="D72" s="8">
        <v>50699018.566200353</v>
      </c>
      <c r="E72" s="8">
        <v>84962130.728648514</v>
      </c>
      <c r="F72" s="8">
        <v>86208535.34083727</v>
      </c>
      <c r="G72" s="8">
        <v>89597446.924981892</v>
      </c>
      <c r="H72" s="8">
        <v>84959596.169878066</v>
      </c>
      <c r="I72" s="8">
        <v>90540393.636565164</v>
      </c>
      <c r="J72" s="8">
        <v>0</v>
      </c>
      <c r="K72" s="8">
        <v>0</v>
      </c>
      <c r="L72" s="8">
        <v>0</v>
      </c>
      <c r="M72" s="9">
        <v>0</v>
      </c>
      <c r="N72" s="9">
        <v>0</v>
      </c>
      <c r="O72" s="7">
        <f t="shared" si="0"/>
        <v>518462620.40462649</v>
      </c>
    </row>
    <row r="73" spans="2:15" ht="11.45" customHeight="1">
      <c r="B73" s="6" t="s">
        <v>83</v>
      </c>
      <c r="C73" s="7">
        <v>37879367.345467068</v>
      </c>
      <c r="D73" s="8">
        <v>33548417.734312996</v>
      </c>
      <c r="E73" s="8">
        <v>18970674.541018303</v>
      </c>
      <c r="F73" s="8">
        <v>45554443.791287065</v>
      </c>
      <c r="G73" s="8">
        <v>40642756.516468748</v>
      </c>
      <c r="H73" s="8">
        <v>33480088.992765099</v>
      </c>
      <c r="I73" s="8">
        <v>45186577.37459667</v>
      </c>
      <c r="J73" s="8">
        <v>0</v>
      </c>
      <c r="K73" s="8">
        <v>0</v>
      </c>
      <c r="L73" s="8">
        <v>0</v>
      </c>
      <c r="M73" s="9">
        <v>0</v>
      </c>
      <c r="N73" s="9">
        <v>0</v>
      </c>
      <c r="O73" s="7">
        <f t="shared" ref="O73:O104" si="1">SUM(C73:N73)</f>
        <v>255262326.29591596</v>
      </c>
    </row>
    <row r="74" spans="2:15" ht="11.45" customHeight="1">
      <c r="B74" s="6" t="s">
        <v>84</v>
      </c>
      <c r="C74" s="7">
        <v>112398770.34135747</v>
      </c>
      <c r="D74" s="8">
        <v>113025333.78423133</v>
      </c>
      <c r="E74" s="8">
        <v>127004271.56725565</v>
      </c>
      <c r="F74" s="8">
        <v>124706604.8298113</v>
      </c>
      <c r="G74" s="8">
        <v>124578738.1762879</v>
      </c>
      <c r="H74" s="8">
        <v>124525849.75383383</v>
      </c>
      <c r="I74" s="8">
        <v>126876080.05744693</v>
      </c>
      <c r="J74" s="8">
        <v>0</v>
      </c>
      <c r="K74" s="8">
        <v>0</v>
      </c>
      <c r="L74" s="8">
        <v>0</v>
      </c>
      <c r="M74" s="9">
        <v>0</v>
      </c>
      <c r="N74" s="9">
        <v>0</v>
      </c>
      <c r="O74" s="7">
        <f t="shared" si="1"/>
        <v>853115648.51022434</v>
      </c>
    </row>
    <row r="75" spans="2:15" ht="11.45" customHeight="1">
      <c r="B75" s="6" t="s">
        <v>85</v>
      </c>
      <c r="C75" s="7">
        <v>1259412.3716969143</v>
      </c>
      <c r="D75" s="8">
        <v>1359330.695148845</v>
      </c>
      <c r="E75" s="8">
        <v>1186428.7991412098</v>
      </c>
      <c r="F75" s="8">
        <v>4294446.2780584563</v>
      </c>
      <c r="G75" s="8">
        <v>2146894.5458112936</v>
      </c>
      <c r="H75" s="8">
        <v>1830197.6881996719</v>
      </c>
      <c r="I75" s="8">
        <v>1496761.4072097747</v>
      </c>
      <c r="J75" s="8">
        <v>0</v>
      </c>
      <c r="K75" s="8">
        <v>0</v>
      </c>
      <c r="L75" s="8">
        <v>0</v>
      </c>
      <c r="M75" s="9">
        <v>0</v>
      </c>
      <c r="N75" s="9">
        <v>0</v>
      </c>
      <c r="O75" s="7">
        <f t="shared" si="1"/>
        <v>13573471.785266167</v>
      </c>
    </row>
    <row r="76" spans="2:15" ht="11.45" customHeight="1">
      <c r="B76" s="6" t="s">
        <v>86</v>
      </c>
      <c r="C76" s="7">
        <v>10635498.709338406</v>
      </c>
      <c r="D76" s="8">
        <v>6111371.9450729657</v>
      </c>
      <c r="E76" s="8">
        <v>10105690.672405701</v>
      </c>
      <c r="F76" s="8">
        <v>13952559.488566924</v>
      </c>
      <c r="G76" s="8">
        <v>10086199.794359073</v>
      </c>
      <c r="H76" s="8">
        <v>7262051.5272762477</v>
      </c>
      <c r="I76" s="8">
        <v>7218174.2644263376</v>
      </c>
      <c r="J76" s="8">
        <v>0</v>
      </c>
      <c r="K76" s="8">
        <v>0</v>
      </c>
      <c r="L76" s="8">
        <v>0</v>
      </c>
      <c r="M76" s="9">
        <v>0</v>
      </c>
      <c r="N76" s="9">
        <v>0</v>
      </c>
      <c r="O76" s="7">
        <f t="shared" si="1"/>
        <v>65371546.401445657</v>
      </c>
    </row>
    <row r="77" spans="2:15" ht="11.45" customHeight="1">
      <c r="B77" s="6" t="s">
        <v>87</v>
      </c>
      <c r="C77" s="7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9">
        <v>0</v>
      </c>
      <c r="N77" s="9">
        <v>0</v>
      </c>
      <c r="O77" s="7">
        <f t="shared" si="1"/>
        <v>0</v>
      </c>
    </row>
    <row r="78" spans="2:15" ht="11.45" customHeight="1">
      <c r="B78" s="6" t="s">
        <v>88</v>
      </c>
      <c r="C78" s="7">
        <v>0</v>
      </c>
      <c r="D78" s="8">
        <v>99.497487437184006</v>
      </c>
      <c r="E78" s="8">
        <v>0</v>
      </c>
      <c r="F78" s="8">
        <v>0</v>
      </c>
      <c r="G78" s="8">
        <v>0</v>
      </c>
      <c r="H78" s="8">
        <v>429.14572864321303</v>
      </c>
      <c r="I78" s="8">
        <v>0</v>
      </c>
      <c r="J78" s="8">
        <v>0</v>
      </c>
      <c r="K78" s="8">
        <v>0</v>
      </c>
      <c r="L78" s="8">
        <v>0</v>
      </c>
      <c r="M78" s="9">
        <v>0</v>
      </c>
      <c r="N78" s="9">
        <v>0</v>
      </c>
      <c r="O78" s="7">
        <f t="shared" si="1"/>
        <v>528.643216080397</v>
      </c>
    </row>
    <row r="79" spans="2:15" ht="11.45" customHeight="1">
      <c r="B79" s="6" t="s">
        <v>89</v>
      </c>
      <c r="C79" s="7">
        <v>6207331.9408557136</v>
      </c>
      <c r="D79" s="8">
        <v>4231965.416031342</v>
      </c>
      <c r="E79" s="8">
        <v>4464912.0315070637</v>
      </c>
      <c r="F79" s="8">
        <v>2821509.8965418343</v>
      </c>
      <c r="G79" s="8">
        <v>4181865.9165366585</v>
      </c>
      <c r="H79" s="8">
        <v>4851950.9849022729</v>
      </c>
      <c r="I79" s="8">
        <v>5601740.8422149969</v>
      </c>
      <c r="J79" s="8">
        <v>0</v>
      </c>
      <c r="K79" s="8">
        <v>0</v>
      </c>
      <c r="L79" s="8">
        <v>0</v>
      </c>
      <c r="M79" s="9">
        <v>0</v>
      </c>
      <c r="N79" s="9">
        <v>0</v>
      </c>
      <c r="O79" s="7">
        <f t="shared" si="1"/>
        <v>32361277.028589886</v>
      </c>
    </row>
    <row r="80" spans="2:15" ht="11.45" customHeight="1">
      <c r="B80" s="6" t="s">
        <v>90</v>
      </c>
      <c r="C80" s="7">
        <v>2517520.9123013448</v>
      </c>
      <c r="D80" s="8">
        <v>1350115.5937048625</v>
      </c>
      <c r="E80" s="8">
        <v>1491889.2863925651</v>
      </c>
      <c r="F80" s="8">
        <v>1061674.9018039512</v>
      </c>
      <c r="G80" s="8">
        <v>2565143.348705749</v>
      </c>
      <c r="H80" s="8">
        <v>2689693.4695676179</v>
      </c>
      <c r="I80" s="8">
        <v>2638455.989041558</v>
      </c>
      <c r="J80" s="8">
        <v>0</v>
      </c>
      <c r="K80" s="8">
        <v>0</v>
      </c>
      <c r="L80" s="8">
        <v>0</v>
      </c>
      <c r="M80" s="9">
        <v>0</v>
      </c>
      <c r="N80" s="9">
        <v>0</v>
      </c>
      <c r="O80" s="7">
        <f t="shared" si="1"/>
        <v>14314493.501517646</v>
      </c>
    </row>
    <row r="81" spans="2:15" ht="11.45" customHeight="1">
      <c r="B81" s="6" t="s">
        <v>91</v>
      </c>
      <c r="C81" s="7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9">
        <v>0</v>
      </c>
      <c r="N81" s="9">
        <v>0</v>
      </c>
      <c r="O81" s="7">
        <f t="shared" si="1"/>
        <v>0</v>
      </c>
    </row>
    <row r="82" spans="2:15" ht="11.45" customHeight="1">
      <c r="B82" s="6" t="s">
        <v>92</v>
      </c>
      <c r="C82" s="7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9">
        <v>0</v>
      </c>
      <c r="N82" s="9">
        <v>0</v>
      </c>
      <c r="O82" s="7">
        <f t="shared" si="1"/>
        <v>0</v>
      </c>
    </row>
    <row r="83" spans="2:15" ht="11.45" customHeight="1">
      <c r="B83" s="6" t="s">
        <v>93</v>
      </c>
      <c r="C83" s="7">
        <v>17975832.9057936</v>
      </c>
      <c r="D83" s="8">
        <v>16131227.961930884</v>
      </c>
      <c r="E83" s="8">
        <v>16012037.923938338</v>
      </c>
      <c r="F83" s="8">
        <v>16544094.320454612</v>
      </c>
      <c r="G83" s="8">
        <v>19471581.690110065</v>
      </c>
      <c r="H83" s="8">
        <v>19214976.771486741</v>
      </c>
      <c r="I83" s="8">
        <v>19871197.155389696</v>
      </c>
      <c r="J83" s="8">
        <v>0</v>
      </c>
      <c r="K83" s="8">
        <v>0</v>
      </c>
      <c r="L83" s="8">
        <v>0</v>
      </c>
      <c r="M83" s="9">
        <v>0</v>
      </c>
      <c r="N83" s="9">
        <v>0</v>
      </c>
      <c r="O83" s="7">
        <f t="shared" si="1"/>
        <v>125220948.72910394</v>
      </c>
    </row>
    <row r="84" spans="2:15" ht="11.45" customHeight="1">
      <c r="B84" s="6" t="s">
        <v>94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9">
        <v>0</v>
      </c>
      <c r="N84" s="9">
        <v>0</v>
      </c>
      <c r="O84" s="7">
        <f t="shared" si="1"/>
        <v>0</v>
      </c>
    </row>
    <row r="85" spans="2:15" ht="11.45" customHeight="1">
      <c r="B85" s="6" t="s">
        <v>95</v>
      </c>
      <c r="C85" s="7">
        <v>129211963.89910053</v>
      </c>
      <c r="D85" s="8">
        <v>87164074.558457315</v>
      </c>
      <c r="E85" s="8">
        <v>109359356.86105669</v>
      </c>
      <c r="F85" s="8">
        <v>128654843.86230959</v>
      </c>
      <c r="G85" s="8">
        <v>94097011.611050144</v>
      </c>
      <c r="H85" s="8">
        <v>61078957.309705213</v>
      </c>
      <c r="I85" s="8">
        <v>127670136.0710865</v>
      </c>
      <c r="J85" s="8">
        <v>0</v>
      </c>
      <c r="K85" s="8">
        <v>0</v>
      </c>
      <c r="L85" s="8">
        <v>0</v>
      </c>
      <c r="M85" s="9">
        <v>0</v>
      </c>
      <c r="N85" s="9">
        <v>0</v>
      </c>
      <c r="O85" s="7">
        <f t="shared" si="1"/>
        <v>737236344.17276609</v>
      </c>
    </row>
    <row r="86" spans="2:15" ht="11.45" customHeight="1">
      <c r="B86" s="6" t="s">
        <v>96</v>
      </c>
      <c r="C86" s="7">
        <v>8535660.381461909</v>
      </c>
      <c r="D86" s="8">
        <v>9233998.0522330217</v>
      </c>
      <c r="E86" s="8">
        <v>11596733.612757009</v>
      </c>
      <c r="F86" s="8">
        <v>16727370.617185978</v>
      </c>
      <c r="G86" s="8">
        <v>15352773.679044046</v>
      </c>
      <c r="H86" s="8">
        <v>11361349.440369515</v>
      </c>
      <c r="I86" s="8">
        <v>11154646.838253388</v>
      </c>
      <c r="J86" s="8">
        <v>0</v>
      </c>
      <c r="K86" s="8">
        <v>0</v>
      </c>
      <c r="L86" s="8">
        <v>0</v>
      </c>
      <c r="M86" s="9">
        <v>0</v>
      </c>
      <c r="N86" s="9">
        <v>0</v>
      </c>
      <c r="O86" s="7">
        <f t="shared" si="1"/>
        <v>83962532.62130487</v>
      </c>
    </row>
    <row r="87" spans="2:15" ht="11.45" customHeight="1">
      <c r="B87" s="6" t="s">
        <v>97</v>
      </c>
      <c r="C87" s="7">
        <v>13429874.962053034</v>
      </c>
      <c r="D87" s="8">
        <v>11817005.390306111</v>
      </c>
      <c r="E87" s="8">
        <v>11236196.922550766</v>
      </c>
      <c r="F87" s="8">
        <v>24392550.062130153</v>
      </c>
      <c r="G87" s="8">
        <v>19460986.66802337</v>
      </c>
      <c r="H87" s="8">
        <v>16751801.983943421</v>
      </c>
      <c r="I87" s="8">
        <v>15452427.596909344</v>
      </c>
      <c r="J87" s="8">
        <v>0</v>
      </c>
      <c r="K87" s="8">
        <v>0</v>
      </c>
      <c r="L87" s="8">
        <v>0</v>
      </c>
      <c r="M87" s="9">
        <v>0</v>
      </c>
      <c r="N87" s="9">
        <v>0</v>
      </c>
      <c r="O87" s="7">
        <f t="shared" si="1"/>
        <v>112540843.58591621</v>
      </c>
    </row>
    <row r="88" spans="2:15" ht="11.45" customHeight="1">
      <c r="B88" s="6" t="s">
        <v>98</v>
      </c>
      <c r="C88" s="7">
        <v>3905606.0285521392</v>
      </c>
      <c r="D88" s="8">
        <v>3682175.4935570313</v>
      </c>
      <c r="E88" s="8">
        <v>3525433.9109660881</v>
      </c>
      <c r="F88" s="8">
        <v>15927107.659349058</v>
      </c>
      <c r="G88" s="8">
        <v>9201966.3319388889</v>
      </c>
      <c r="H88" s="8">
        <v>5936914.7986355815</v>
      </c>
      <c r="I88" s="8">
        <v>4640915.2395729292</v>
      </c>
      <c r="J88" s="8">
        <v>0</v>
      </c>
      <c r="K88" s="8">
        <v>0</v>
      </c>
      <c r="L88" s="8">
        <v>0</v>
      </c>
      <c r="M88" s="9">
        <v>0</v>
      </c>
      <c r="N88" s="9">
        <v>0</v>
      </c>
      <c r="O88" s="7">
        <f t="shared" si="1"/>
        <v>46820119.462571718</v>
      </c>
    </row>
    <row r="89" spans="2:15">
      <c r="B89" s="1" t="s">
        <v>99</v>
      </c>
      <c r="C89" s="7">
        <v>4730221.0476251412</v>
      </c>
      <c r="D89" s="8">
        <v>5588479.241254868</v>
      </c>
      <c r="E89" s="8">
        <v>5443478.609460094</v>
      </c>
      <c r="F89" s="8">
        <v>6630259.1243007453</v>
      </c>
      <c r="G89" s="8">
        <v>7308303.9525530608</v>
      </c>
      <c r="H89" s="8">
        <v>7274070.1494267806</v>
      </c>
      <c r="I89" s="8">
        <v>6287213.1736123906</v>
      </c>
      <c r="J89" s="8">
        <v>0</v>
      </c>
      <c r="K89" s="8">
        <v>0</v>
      </c>
      <c r="L89" s="8">
        <v>0</v>
      </c>
      <c r="M89" s="9">
        <v>0</v>
      </c>
      <c r="N89" s="9">
        <v>0</v>
      </c>
      <c r="O89" s="7">
        <f t="shared" si="1"/>
        <v>43262025.298233084</v>
      </c>
    </row>
    <row r="90" spans="2:15">
      <c r="B90" s="1" t="s">
        <v>100</v>
      </c>
      <c r="C90" s="7">
        <v>4907132.1006444506</v>
      </c>
      <c r="D90" s="8">
        <v>5735664.5602622116</v>
      </c>
      <c r="E90" s="8">
        <v>5652870.0026257122</v>
      </c>
      <c r="F90" s="8">
        <v>7018454.7311337125</v>
      </c>
      <c r="G90" s="8">
        <v>7656835.7366474401</v>
      </c>
      <c r="H90" s="8">
        <v>7644072.5003276719</v>
      </c>
      <c r="I90" s="8">
        <v>6518415.7398979254</v>
      </c>
      <c r="J90" s="8">
        <v>0</v>
      </c>
      <c r="K90" s="8">
        <v>0</v>
      </c>
      <c r="L90" s="8">
        <v>0</v>
      </c>
      <c r="M90" s="9">
        <v>0</v>
      </c>
      <c r="N90" s="9">
        <v>0</v>
      </c>
      <c r="O90" s="7">
        <f t="shared" si="1"/>
        <v>45133445.371539116</v>
      </c>
    </row>
    <row r="91" spans="2:15">
      <c r="B91" s="1" t="s">
        <v>101</v>
      </c>
      <c r="C91" s="7">
        <v>5107011.8906886708</v>
      </c>
      <c r="D91" s="8">
        <v>5312164.2089951448</v>
      </c>
      <c r="E91" s="8">
        <v>4824241.5778888427</v>
      </c>
      <c r="F91" s="8">
        <v>5842949.6469335146</v>
      </c>
      <c r="G91" s="8">
        <v>6702379.3853641637</v>
      </c>
      <c r="H91" s="8">
        <v>6667881.7043272192</v>
      </c>
      <c r="I91" s="8">
        <v>6479809.3725308506</v>
      </c>
      <c r="J91" s="8">
        <v>0</v>
      </c>
      <c r="K91" s="8">
        <v>0</v>
      </c>
      <c r="L91" s="8">
        <v>0</v>
      </c>
      <c r="M91" s="9">
        <v>0</v>
      </c>
      <c r="N91" s="9">
        <v>0</v>
      </c>
      <c r="O91" s="7">
        <f t="shared" si="1"/>
        <v>40936437.786728404</v>
      </c>
    </row>
    <row r="92" spans="2:15">
      <c r="B92" s="1" t="s">
        <v>102</v>
      </c>
      <c r="C92" s="7">
        <v>5040127.890522996</v>
      </c>
      <c r="D92" s="8">
        <v>5297904.1075854162</v>
      </c>
      <c r="E92" s="8">
        <v>4861828.9341186751</v>
      </c>
      <c r="F92" s="8">
        <v>5903128.9006331712</v>
      </c>
      <c r="G92" s="8">
        <v>6742802.4049028028</v>
      </c>
      <c r="H92" s="8">
        <v>6662532.2851415314</v>
      </c>
      <c r="I92" s="8">
        <v>6440692.5633646026</v>
      </c>
      <c r="J92" s="8">
        <v>0</v>
      </c>
      <c r="K92" s="8">
        <v>0</v>
      </c>
      <c r="L92" s="8">
        <v>0</v>
      </c>
      <c r="M92" s="9">
        <v>0</v>
      </c>
      <c r="N92" s="9">
        <v>0</v>
      </c>
      <c r="O92" s="7">
        <f t="shared" si="1"/>
        <v>40949017.086269192</v>
      </c>
    </row>
    <row r="93" spans="2:15">
      <c r="B93" s="1" t="s">
        <v>103</v>
      </c>
      <c r="C93" s="7">
        <v>5092716.0755712194</v>
      </c>
      <c r="D93" s="8">
        <v>5340568.0847561276</v>
      </c>
      <c r="E93" s="8">
        <v>4871235.6361791808</v>
      </c>
      <c r="F93" s="8">
        <v>5947557.4876568969</v>
      </c>
      <c r="G93" s="8">
        <v>6808585.4982330129</v>
      </c>
      <c r="H93" s="8">
        <v>6745642.8383736378</v>
      </c>
      <c r="I93" s="8">
        <v>6523494.2919847425</v>
      </c>
      <c r="J93" s="8">
        <v>0</v>
      </c>
      <c r="K93" s="8">
        <v>0</v>
      </c>
      <c r="L93" s="8">
        <v>0</v>
      </c>
      <c r="M93" s="9">
        <v>0</v>
      </c>
      <c r="N93" s="9">
        <v>0</v>
      </c>
      <c r="O93" s="7">
        <f t="shared" si="1"/>
        <v>41329799.912754819</v>
      </c>
    </row>
    <row r="94" spans="2:15">
      <c r="B94" s="1" t="s">
        <v>104</v>
      </c>
      <c r="C94" s="7">
        <v>79489998.458314225</v>
      </c>
      <c r="D94" s="8">
        <v>55811142.873805761</v>
      </c>
      <c r="E94" s="8">
        <v>81912779.371411934</v>
      </c>
      <c r="F94" s="8">
        <v>78234234.949325874</v>
      </c>
      <c r="G94" s="8">
        <v>75659075.377451718</v>
      </c>
      <c r="H94" s="8">
        <v>78897003.356827497</v>
      </c>
      <c r="I94" s="8">
        <v>83931462.742600381</v>
      </c>
      <c r="J94" s="8">
        <v>0</v>
      </c>
      <c r="K94" s="8">
        <v>0</v>
      </c>
      <c r="L94" s="8">
        <v>0</v>
      </c>
      <c r="M94" s="9">
        <v>0</v>
      </c>
      <c r="N94" s="9">
        <v>0</v>
      </c>
      <c r="O94" s="7">
        <f t="shared" si="1"/>
        <v>533935697.12973738</v>
      </c>
    </row>
    <row r="95" spans="2:15">
      <c r="B95" s="1" t="s">
        <v>105</v>
      </c>
      <c r="C95" s="7">
        <v>11523780.023174142</v>
      </c>
      <c r="D95" s="8">
        <v>13390209.454295512</v>
      </c>
      <c r="E95" s="8">
        <v>12043331.915499534</v>
      </c>
      <c r="F95" s="8">
        <v>15736040.842739174</v>
      </c>
      <c r="G95" s="8">
        <v>18319974.785337713</v>
      </c>
      <c r="H95" s="8">
        <v>16898048.919428352</v>
      </c>
      <c r="I95" s="8">
        <v>15635420.749492304</v>
      </c>
      <c r="J95" s="8">
        <v>0</v>
      </c>
      <c r="K95" s="8">
        <v>0</v>
      </c>
      <c r="L95" s="8">
        <v>0</v>
      </c>
      <c r="M95" s="9">
        <v>0</v>
      </c>
      <c r="N95" s="9">
        <v>0</v>
      </c>
      <c r="O95" s="7">
        <f t="shared" si="1"/>
        <v>103546806.68996672</v>
      </c>
    </row>
    <row r="96" spans="2:15">
      <c r="B96" s="1" t="s">
        <v>106</v>
      </c>
      <c r="C96" s="7">
        <v>1035610.3398235135</v>
      </c>
      <c r="D96" s="8">
        <v>1234751.7466370936</v>
      </c>
      <c r="E96" s="8">
        <v>1129671.6282945191</v>
      </c>
      <c r="F96" s="8">
        <v>1240584.2171548675</v>
      </c>
      <c r="G96" s="8">
        <v>1408821.7598889899</v>
      </c>
      <c r="H96" s="8">
        <v>1454500.2938433695</v>
      </c>
      <c r="I96" s="8">
        <v>1488025.5506824593</v>
      </c>
      <c r="J96" s="8">
        <v>0</v>
      </c>
      <c r="K96" s="8">
        <v>0</v>
      </c>
      <c r="L96" s="8">
        <v>0</v>
      </c>
      <c r="M96" s="9">
        <v>0</v>
      </c>
      <c r="N96" s="9">
        <v>0</v>
      </c>
      <c r="O96" s="7">
        <f t="shared" si="1"/>
        <v>8991965.5363248121</v>
      </c>
    </row>
    <row r="97" spans="1:24">
      <c r="B97" s="1" t="s">
        <v>107</v>
      </c>
      <c r="C97" s="7">
        <v>7628872.881835429</v>
      </c>
      <c r="D97" s="8">
        <v>9100797.9044137802</v>
      </c>
      <c r="E97" s="8">
        <v>8133611.8775486266</v>
      </c>
      <c r="F97" s="8">
        <v>10002243.158603743</v>
      </c>
      <c r="G97" s="8">
        <v>10775825.782580156</v>
      </c>
      <c r="H97" s="8">
        <v>10783948.459561303</v>
      </c>
      <c r="I97" s="8">
        <v>11434096.797117034</v>
      </c>
      <c r="J97" s="8">
        <v>0</v>
      </c>
      <c r="K97" s="8">
        <v>0</v>
      </c>
      <c r="L97" s="8">
        <v>0</v>
      </c>
      <c r="M97" s="9">
        <v>0</v>
      </c>
      <c r="N97" s="9">
        <v>0</v>
      </c>
      <c r="O97" s="7">
        <f t="shared" si="1"/>
        <v>67859396.861660078</v>
      </c>
    </row>
    <row r="98" spans="1:24">
      <c r="B98" s="1" t="s">
        <v>108</v>
      </c>
      <c r="C98" s="7">
        <v>7656856.8830111893</v>
      </c>
      <c r="D98" s="8">
        <v>9116125.2224359121</v>
      </c>
      <c r="E98" s="8">
        <v>8190776.5469492618</v>
      </c>
      <c r="F98" s="8">
        <v>9899398.7568490803</v>
      </c>
      <c r="G98" s="8">
        <v>11177806.550094092</v>
      </c>
      <c r="H98" s="8">
        <v>10930441.671219822</v>
      </c>
      <c r="I98" s="8">
        <v>11459218.761876324</v>
      </c>
      <c r="J98" s="8">
        <v>0</v>
      </c>
      <c r="K98" s="8">
        <v>0</v>
      </c>
      <c r="L98" s="8">
        <v>0</v>
      </c>
      <c r="M98" s="9">
        <v>0</v>
      </c>
      <c r="N98" s="9">
        <v>0</v>
      </c>
      <c r="O98" s="7">
        <f t="shared" si="1"/>
        <v>68430624.392435685</v>
      </c>
    </row>
    <row r="99" spans="1:24">
      <c r="B99" s="1" t="s">
        <v>109</v>
      </c>
      <c r="C99" s="7">
        <v>4152875.3121672464</v>
      </c>
      <c r="D99" s="8">
        <v>4869024.4629927361</v>
      </c>
      <c r="E99" s="8">
        <v>3916887.3992435518</v>
      </c>
      <c r="F99" s="8">
        <v>5508163.0822367975</v>
      </c>
      <c r="G99" s="8">
        <v>6493238.4875335777</v>
      </c>
      <c r="H99" s="8">
        <v>5555414.3548248401</v>
      </c>
      <c r="I99" s="8">
        <v>5710874.7812663885</v>
      </c>
      <c r="J99" s="8">
        <v>0</v>
      </c>
      <c r="K99" s="8">
        <v>0</v>
      </c>
      <c r="L99" s="8">
        <v>0</v>
      </c>
      <c r="M99" s="9">
        <v>0</v>
      </c>
      <c r="N99" s="9">
        <v>0</v>
      </c>
      <c r="O99" s="7">
        <f t="shared" si="1"/>
        <v>36206477.880265139</v>
      </c>
    </row>
    <row r="100" spans="1:24">
      <c r="B100" s="1" t="s">
        <v>110</v>
      </c>
      <c r="C100" s="7">
        <v>6135118.9836406959</v>
      </c>
      <c r="D100" s="8">
        <v>7061895.4414565759</v>
      </c>
      <c r="E100" s="8">
        <v>6255248.013789284</v>
      </c>
      <c r="F100" s="8">
        <v>8278837.8638485232</v>
      </c>
      <c r="G100" s="8">
        <v>9460196.2314594202</v>
      </c>
      <c r="H100" s="8">
        <v>9231394.2036641501</v>
      </c>
      <c r="I100" s="8">
        <v>8865440.0615687426</v>
      </c>
      <c r="J100" s="8">
        <v>0</v>
      </c>
      <c r="K100" s="8">
        <v>0</v>
      </c>
      <c r="L100" s="8">
        <v>0</v>
      </c>
      <c r="M100" s="9">
        <v>0</v>
      </c>
      <c r="N100" s="9">
        <v>0</v>
      </c>
      <c r="O100" s="7">
        <f t="shared" si="1"/>
        <v>55288130.799427398</v>
      </c>
    </row>
    <row r="101" spans="1:24">
      <c r="B101" s="1" t="s">
        <v>111</v>
      </c>
      <c r="C101" s="7">
        <v>5607413.7397998786</v>
      </c>
      <c r="D101" s="8">
        <v>5689238.5276925946</v>
      </c>
      <c r="E101" s="8">
        <v>6111507.2061263965</v>
      </c>
      <c r="F101" s="8">
        <v>7944766.7637128653</v>
      </c>
      <c r="G101" s="8">
        <v>9580550.6876693275</v>
      </c>
      <c r="H101" s="8">
        <v>9409023.9071767777</v>
      </c>
      <c r="I101" s="8">
        <v>9220044.4717900585</v>
      </c>
      <c r="J101" s="8">
        <v>0</v>
      </c>
      <c r="K101" s="8">
        <v>0</v>
      </c>
      <c r="L101" s="8">
        <v>0</v>
      </c>
      <c r="M101" s="9">
        <v>0</v>
      </c>
      <c r="N101" s="9">
        <v>0</v>
      </c>
      <c r="O101" s="7">
        <f t="shared" si="1"/>
        <v>53562545.303967901</v>
      </c>
    </row>
    <row r="102" spans="1:24">
      <c r="B102" s="1" t="s">
        <v>112</v>
      </c>
      <c r="C102" s="7">
        <v>6921766.8072129982</v>
      </c>
      <c r="D102" s="8">
        <v>7470427.6674352242</v>
      </c>
      <c r="E102" s="8">
        <v>18957263.582776677</v>
      </c>
      <c r="F102" s="8">
        <v>7874771.6793814478</v>
      </c>
      <c r="G102" s="8">
        <v>21048330.312402748</v>
      </c>
      <c r="H102" s="8">
        <v>19111446.277733393</v>
      </c>
      <c r="I102" s="8">
        <v>20409537.803047471</v>
      </c>
      <c r="J102" s="8">
        <v>0</v>
      </c>
      <c r="K102" s="8">
        <v>0</v>
      </c>
      <c r="L102" s="8">
        <v>0</v>
      </c>
      <c r="M102" s="9">
        <v>0</v>
      </c>
      <c r="N102" s="9">
        <v>0</v>
      </c>
      <c r="O102" s="7">
        <f t="shared" si="1"/>
        <v>101793544.12998995</v>
      </c>
    </row>
    <row r="103" spans="1:24">
      <c r="B103" s="1" t="s">
        <v>113</v>
      </c>
      <c r="C103" s="7">
        <v>2.1555261486999999E-2</v>
      </c>
      <c r="D103" s="8">
        <v>0</v>
      </c>
      <c r="E103" s="8">
        <v>43085646.06321156</v>
      </c>
      <c r="F103" s="8">
        <v>53577028.292262778</v>
      </c>
      <c r="G103" s="8">
        <v>18912996.077016376</v>
      </c>
      <c r="H103" s="8">
        <v>37717434.63145715</v>
      </c>
      <c r="I103" s="8">
        <v>21790685.866156336</v>
      </c>
      <c r="J103" s="8">
        <v>0</v>
      </c>
      <c r="K103" s="8">
        <v>0</v>
      </c>
      <c r="L103" s="8">
        <v>0</v>
      </c>
      <c r="M103" s="9">
        <v>0</v>
      </c>
      <c r="N103" s="9">
        <v>0</v>
      </c>
      <c r="O103" s="7">
        <f t="shared" si="1"/>
        <v>175083790.95165947</v>
      </c>
    </row>
    <row r="104" spans="1:24">
      <c r="B104" s="1" t="s">
        <v>114</v>
      </c>
      <c r="C104" s="7">
        <v>0</v>
      </c>
      <c r="D104" s="8">
        <v>0</v>
      </c>
      <c r="E104" s="8">
        <v>789.81806796973103</v>
      </c>
      <c r="F104" s="8">
        <v>15759761.332912033</v>
      </c>
      <c r="G104" s="8">
        <v>16287766.745507358</v>
      </c>
      <c r="H104" s="8">
        <v>13577304.513556028</v>
      </c>
      <c r="I104" s="8">
        <v>13949776.275652513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7">
        <f t="shared" si="1"/>
        <v>59575398.685695902</v>
      </c>
    </row>
    <row r="105" spans="1:24">
      <c r="B105" s="1" t="s">
        <v>115</v>
      </c>
      <c r="C105" s="7">
        <v>0</v>
      </c>
      <c r="D105" s="7">
        <v>0</v>
      </c>
      <c r="E105" s="8">
        <v>0</v>
      </c>
      <c r="F105" s="8">
        <v>0</v>
      </c>
      <c r="G105" s="8">
        <v>3879889.5740718413</v>
      </c>
      <c r="H105" s="8">
        <v>10154226.665277153</v>
      </c>
      <c r="I105" s="8">
        <v>10361571.992948702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7">
        <f>SUM(C105:N105)</f>
        <v>24395688.232297696</v>
      </c>
    </row>
    <row r="106" spans="1:24" ht="24.95" customHeight="1">
      <c r="B106" s="3" t="s">
        <v>116</v>
      </c>
      <c r="C106" s="10">
        <f>SUM(C8:C105)</f>
        <v>1870082418.7642145</v>
      </c>
      <c r="D106" s="10">
        <f t="shared" ref="D106:N106" si="2">SUM(D8:D105)</f>
        <v>1702618332.8600993</v>
      </c>
      <c r="E106" s="10">
        <f t="shared" si="2"/>
        <v>1939175560.2450504</v>
      </c>
      <c r="F106" s="10">
        <f t="shared" si="2"/>
        <v>1954730333.7488561</v>
      </c>
      <c r="G106" s="10">
        <f>SUM(G8:G105)</f>
        <v>2269980603.5123219</v>
      </c>
      <c r="H106" s="10">
        <f>SUM(H8:H105)</f>
        <v>2367880527.8913312</v>
      </c>
      <c r="I106" s="10">
        <f t="shared" si="2"/>
        <v>2535878907.854887</v>
      </c>
      <c r="J106" s="10">
        <f t="shared" si="2"/>
        <v>0</v>
      </c>
      <c r="K106" s="10">
        <f t="shared" si="2"/>
        <v>0</v>
      </c>
      <c r="L106" s="10">
        <f t="shared" si="2"/>
        <v>0</v>
      </c>
      <c r="M106" s="10">
        <f t="shared" si="2"/>
        <v>0</v>
      </c>
      <c r="N106" s="10">
        <f t="shared" si="2"/>
        <v>0</v>
      </c>
      <c r="O106" s="10">
        <f>SUM(O8:O105)</f>
        <v>14640346684.87676</v>
      </c>
    </row>
    <row r="107" spans="1:24" ht="5.0999999999999996" customHeight="1"/>
    <row r="108" spans="1:24" ht="15">
      <c r="A108" s="11"/>
      <c r="B108" s="13" t="s">
        <v>117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1:24" ht="15">
      <c r="A109" s="11"/>
      <c r="B109" s="13" t="s">
        <v>118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24" ht="15">
      <c r="A110" s="11"/>
      <c r="B110" s="13" t="s">
        <v>119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24" ht="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ht="15">
      <c r="A112" s="11"/>
    </row>
    <row r="113" spans="1:1" ht="15">
      <c r="A113" s="11"/>
    </row>
    <row r="114" spans="1:1" ht="15">
      <c r="A114" s="11"/>
    </row>
    <row r="115" spans="1:1" ht="15">
      <c r="A115" s="11"/>
    </row>
    <row r="116" spans="1:1" ht="15">
      <c r="A116" s="11"/>
    </row>
    <row r="117" spans="1:1" ht="15">
      <c r="A117" s="11"/>
    </row>
    <row r="118" spans="1:1" ht="15">
      <c r="A118" s="11"/>
    </row>
    <row r="119" spans="1:1" ht="15">
      <c r="A119" s="11"/>
    </row>
    <row r="120" spans="1:1" ht="15">
      <c r="A120" s="11"/>
    </row>
    <row r="121" spans="1:1" ht="15">
      <c r="A121" s="11"/>
    </row>
    <row r="122" spans="1:1" ht="15">
      <c r="A122" s="11"/>
    </row>
    <row r="123" spans="1:1" ht="15">
      <c r="A123" s="11"/>
    </row>
    <row r="124" spans="1:1" ht="15">
      <c r="A124" s="11"/>
    </row>
    <row r="125" spans="1:1" ht="15">
      <c r="A125" s="11"/>
    </row>
    <row r="126" spans="1:1" ht="15">
      <c r="A126" s="11"/>
    </row>
    <row r="198" spans="2:2">
      <c r="B198" s="6"/>
    </row>
    <row r="203" spans="2:2">
      <c r="B203" s="6"/>
    </row>
    <row r="205" spans="2:2">
      <c r="B205" s="6"/>
    </row>
  </sheetData>
  <mergeCells count="7">
    <mergeCell ref="B110:O110"/>
    <mergeCell ref="B2:O2"/>
    <mergeCell ref="B3:O3"/>
    <mergeCell ref="B4:O4"/>
    <mergeCell ref="B5:O5"/>
    <mergeCell ref="B109:O109"/>
    <mergeCell ref="B108:O10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3285-0152-4C32-B3FC-B6D72CBC8E84}">
  <sheetPr>
    <tabColor theme="6" tint="0.59999389629810485"/>
  </sheetPr>
  <dimension ref="B2:O112"/>
  <sheetViews>
    <sheetView showGridLines="0" topLeftCell="A83" zoomScale="85" zoomScaleNormal="85" workbookViewId="0">
      <selection activeCell="B4" sqref="B4:O4"/>
    </sheetView>
  </sheetViews>
  <sheetFormatPr defaultColWidth="11.5703125" defaultRowHeight="11.25"/>
  <cols>
    <col min="1" max="1" width="20" style="1" customWidth="1"/>
    <col min="2" max="2" width="32.7109375" style="1" customWidth="1"/>
    <col min="3" max="14" width="20" style="1" customWidth="1"/>
    <col min="15" max="15" width="17.7109375" style="1" customWidth="1"/>
    <col min="16" max="16" width="2.85546875" style="1" customWidth="1"/>
    <col min="17" max="17" width="12" style="1" bestFit="1" customWidth="1"/>
    <col min="18" max="255" width="11.5703125" style="1"/>
    <col min="256" max="256" width="33.7109375" style="1" customWidth="1"/>
    <col min="257" max="269" width="16.7109375" style="1" customWidth="1"/>
    <col min="270" max="270" width="11.5703125" style="1"/>
    <col min="271" max="271" width="14.42578125" style="1" bestFit="1" customWidth="1"/>
    <col min="272" max="511" width="11.5703125" style="1"/>
    <col min="512" max="512" width="33.7109375" style="1" customWidth="1"/>
    <col min="513" max="525" width="16.7109375" style="1" customWidth="1"/>
    <col min="526" max="526" width="11.5703125" style="1"/>
    <col min="527" max="527" width="14.42578125" style="1" bestFit="1" customWidth="1"/>
    <col min="528" max="767" width="11.5703125" style="1"/>
    <col min="768" max="768" width="33.7109375" style="1" customWidth="1"/>
    <col min="769" max="781" width="16.7109375" style="1" customWidth="1"/>
    <col min="782" max="782" width="11.5703125" style="1"/>
    <col min="783" max="783" width="14.42578125" style="1" bestFit="1" customWidth="1"/>
    <col min="784" max="1023" width="11.5703125" style="1"/>
    <col min="1024" max="1024" width="33.7109375" style="1" customWidth="1"/>
    <col min="1025" max="1037" width="16.7109375" style="1" customWidth="1"/>
    <col min="1038" max="1038" width="11.5703125" style="1"/>
    <col min="1039" max="1039" width="14.42578125" style="1" bestFit="1" customWidth="1"/>
    <col min="1040" max="1279" width="11.5703125" style="1"/>
    <col min="1280" max="1280" width="33.7109375" style="1" customWidth="1"/>
    <col min="1281" max="1293" width="16.7109375" style="1" customWidth="1"/>
    <col min="1294" max="1294" width="11.5703125" style="1"/>
    <col min="1295" max="1295" width="14.42578125" style="1" bestFit="1" customWidth="1"/>
    <col min="1296" max="1535" width="11.5703125" style="1"/>
    <col min="1536" max="1536" width="33.7109375" style="1" customWidth="1"/>
    <col min="1537" max="1549" width="16.7109375" style="1" customWidth="1"/>
    <col min="1550" max="1550" width="11.5703125" style="1"/>
    <col min="1551" max="1551" width="14.42578125" style="1" bestFit="1" customWidth="1"/>
    <col min="1552" max="1791" width="11.5703125" style="1"/>
    <col min="1792" max="1792" width="33.7109375" style="1" customWidth="1"/>
    <col min="1793" max="1805" width="16.7109375" style="1" customWidth="1"/>
    <col min="1806" max="1806" width="11.5703125" style="1"/>
    <col min="1807" max="1807" width="14.42578125" style="1" bestFit="1" customWidth="1"/>
    <col min="1808" max="2047" width="11.5703125" style="1"/>
    <col min="2048" max="2048" width="33.7109375" style="1" customWidth="1"/>
    <col min="2049" max="2061" width="16.7109375" style="1" customWidth="1"/>
    <col min="2062" max="2062" width="11.5703125" style="1"/>
    <col min="2063" max="2063" width="14.42578125" style="1" bestFit="1" customWidth="1"/>
    <col min="2064" max="2303" width="11.5703125" style="1"/>
    <col min="2304" max="2304" width="33.7109375" style="1" customWidth="1"/>
    <col min="2305" max="2317" width="16.7109375" style="1" customWidth="1"/>
    <col min="2318" max="2318" width="11.5703125" style="1"/>
    <col min="2319" max="2319" width="14.42578125" style="1" bestFit="1" customWidth="1"/>
    <col min="2320" max="2559" width="11.5703125" style="1"/>
    <col min="2560" max="2560" width="33.7109375" style="1" customWidth="1"/>
    <col min="2561" max="2573" width="16.7109375" style="1" customWidth="1"/>
    <col min="2574" max="2574" width="11.5703125" style="1"/>
    <col min="2575" max="2575" width="14.42578125" style="1" bestFit="1" customWidth="1"/>
    <col min="2576" max="2815" width="11.5703125" style="1"/>
    <col min="2816" max="2816" width="33.7109375" style="1" customWidth="1"/>
    <col min="2817" max="2829" width="16.7109375" style="1" customWidth="1"/>
    <col min="2830" max="2830" width="11.5703125" style="1"/>
    <col min="2831" max="2831" width="14.42578125" style="1" bestFit="1" customWidth="1"/>
    <col min="2832" max="3071" width="11.5703125" style="1"/>
    <col min="3072" max="3072" width="33.7109375" style="1" customWidth="1"/>
    <col min="3073" max="3085" width="16.7109375" style="1" customWidth="1"/>
    <col min="3086" max="3086" width="11.5703125" style="1"/>
    <col min="3087" max="3087" width="14.42578125" style="1" bestFit="1" customWidth="1"/>
    <col min="3088" max="3327" width="11.5703125" style="1"/>
    <col min="3328" max="3328" width="33.7109375" style="1" customWidth="1"/>
    <col min="3329" max="3341" width="16.7109375" style="1" customWidth="1"/>
    <col min="3342" max="3342" width="11.5703125" style="1"/>
    <col min="3343" max="3343" width="14.42578125" style="1" bestFit="1" customWidth="1"/>
    <col min="3344" max="3583" width="11.5703125" style="1"/>
    <col min="3584" max="3584" width="33.7109375" style="1" customWidth="1"/>
    <col min="3585" max="3597" width="16.7109375" style="1" customWidth="1"/>
    <col min="3598" max="3598" width="11.5703125" style="1"/>
    <col min="3599" max="3599" width="14.42578125" style="1" bestFit="1" customWidth="1"/>
    <col min="3600" max="3839" width="11.5703125" style="1"/>
    <col min="3840" max="3840" width="33.7109375" style="1" customWidth="1"/>
    <col min="3841" max="3853" width="16.7109375" style="1" customWidth="1"/>
    <col min="3854" max="3854" width="11.5703125" style="1"/>
    <col min="3855" max="3855" width="14.42578125" style="1" bestFit="1" customWidth="1"/>
    <col min="3856" max="4095" width="11.5703125" style="1"/>
    <col min="4096" max="4096" width="33.7109375" style="1" customWidth="1"/>
    <col min="4097" max="4109" width="16.7109375" style="1" customWidth="1"/>
    <col min="4110" max="4110" width="11.5703125" style="1"/>
    <col min="4111" max="4111" width="14.42578125" style="1" bestFit="1" customWidth="1"/>
    <col min="4112" max="4351" width="11.5703125" style="1"/>
    <col min="4352" max="4352" width="33.7109375" style="1" customWidth="1"/>
    <col min="4353" max="4365" width="16.7109375" style="1" customWidth="1"/>
    <col min="4366" max="4366" width="11.5703125" style="1"/>
    <col min="4367" max="4367" width="14.42578125" style="1" bestFit="1" customWidth="1"/>
    <col min="4368" max="4607" width="11.5703125" style="1"/>
    <col min="4608" max="4608" width="33.7109375" style="1" customWidth="1"/>
    <col min="4609" max="4621" width="16.7109375" style="1" customWidth="1"/>
    <col min="4622" max="4622" width="11.5703125" style="1"/>
    <col min="4623" max="4623" width="14.42578125" style="1" bestFit="1" customWidth="1"/>
    <col min="4624" max="4863" width="11.5703125" style="1"/>
    <col min="4864" max="4864" width="33.7109375" style="1" customWidth="1"/>
    <col min="4865" max="4877" width="16.7109375" style="1" customWidth="1"/>
    <col min="4878" max="4878" width="11.5703125" style="1"/>
    <col min="4879" max="4879" width="14.42578125" style="1" bestFit="1" customWidth="1"/>
    <col min="4880" max="5119" width="11.5703125" style="1"/>
    <col min="5120" max="5120" width="33.7109375" style="1" customWidth="1"/>
    <col min="5121" max="5133" width="16.7109375" style="1" customWidth="1"/>
    <col min="5134" max="5134" width="11.5703125" style="1"/>
    <col min="5135" max="5135" width="14.42578125" style="1" bestFit="1" customWidth="1"/>
    <col min="5136" max="5375" width="11.5703125" style="1"/>
    <col min="5376" max="5376" width="33.7109375" style="1" customWidth="1"/>
    <col min="5377" max="5389" width="16.7109375" style="1" customWidth="1"/>
    <col min="5390" max="5390" width="11.5703125" style="1"/>
    <col min="5391" max="5391" width="14.42578125" style="1" bestFit="1" customWidth="1"/>
    <col min="5392" max="5631" width="11.5703125" style="1"/>
    <col min="5632" max="5632" width="33.7109375" style="1" customWidth="1"/>
    <col min="5633" max="5645" width="16.7109375" style="1" customWidth="1"/>
    <col min="5646" max="5646" width="11.5703125" style="1"/>
    <col min="5647" max="5647" width="14.42578125" style="1" bestFit="1" customWidth="1"/>
    <col min="5648" max="5887" width="11.5703125" style="1"/>
    <col min="5888" max="5888" width="33.7109375" style="1" customWidth="1"/>
    <col min="5889" max="5901" width="16.7109375" style="1" customWidth="1"/>
    <col min="5902" max="5902" width="11.5703125" style="1"/>
    <col min="5903" max="5903" width="14.42578125" style="1" bestFit="1" customWidth="1"/>
    <col min="5904" max="6143" width="11.5703125" style="1"/>
    <col min="6144" max="6144" width="33.7109375" style="1" customWidth="1"/>
    <col min="6145" max="6157" width="16.7109375" style="1" customWidth="1"/>
    <col min="6158" max="6158" width="11.5703125" style="1"/>
    <col min="6159" max="6159" width="14.42578125" style="1" bestFit="1" customWidth="1"/>
    <col min="6160" max="6399" width="11.5703125" style="1"/>
    <col min="6400" max="6400" width="33.7109375" style="1" customWidth="1"/>
    <col min="6401" max="6413" width="16.7109375" style="1" customWidth="1"/>
    <col min="6414" max="6414" width="11.5703125" style="1"/>
    <col min="6415" max="6415" width="14.42578125" style="1" bestFit="1" customWidth="1"/>
    <col min="6416" max="6655" width="11.5703125" style="1"/>
    <col min="6656" max="6656" width="33.7109375" style="1" customWidth="1"/>
    <col min="6657" max="6669" width="16.7109375" style="1" customWidth="1"/>
    <col min="6670" max="6670" width="11.5703125" style="1"/>
    <col min="6671" max="6671" width="14.42578125" style="1" bestFit="1" customWidth="1"/>
    <col min="6672" max="6911" width="11.5703125" style="1"/>
    <col min="6912" max="6912" width="33.7109375" style="1" customWidth="1"/>
    <col min="6913" max="6925" width="16.7109375" style="1" customWidth="1"/>
    <col min="6926" max="6926" width="11.5703125" style="1"/>
    <col min="6927" max="6927" width="14.42578125" style="1" bestFit="1" customWidth="1"/>
    <col min="6928" max="7167" width="11.5703125" style="1"/>
    <col min="7168" max="7168" width="33.7109375" style="1" customWidth="1"/>
    <col min="7169" max="7181" width="16.7109375" style="1" customWidth="1"/>
    <col min="7182" max="7182" width="11.5703125" style="1"/>
    <col min="7183" max="7183" width="14.42578125" style="1" bestFit="1" customWidth="1"/>
    <col min="7184" max="7423" width="11.5703125" style="1"/>
    <col min="7424" max="7424" width="33.7109375" style="1" customWidth="1"/>
    <col min="7425" max="7437" width="16.7109375" style="1" customWidth="1"/>
    <col min="7438" max="7438" width="11.5703125" style="1"/>
    <col min="7439" max="7439" width="14.42578125" style="1" bestFit="1" customWidth="1"/>
    <col min="7440" max="7679" width="11.5703125" style="1"/>
    <col min="7680" max="7680" width="33.7109375" style="1" customWidth="1"/>
    <col min="7681" max="7693" width="16.7109375" style="1" customWidth="1"/>
    <col min="7694" max="7694" width="11.5703125" style="1"/>
    <col min="7695" max="7695" width="14.42578125" style="1" bestFit="1" customWidth="1"/>
    <col min="7696" max="7935" width="11.5703125" style="1"/>
    <col min="7936" max="7936" width="33.7109375" style="1" customWidth="1"/>
    <col min="7937" max="7949" width="16.7109375" style="1" customWidth="1"/>
    <col min="7950" max="7950" width="11.5703125" style="1"/>
    <col min="7951" max="7951" width="14.42578125" style="1" bestFit="1" customWidth="1"/>
    <col min="7952" max="8191" width="11.5703125" style="1"/>
    <col min="8192" max="8192" width="33.7109375" style="1" customWidth="1"/>
    <col min="8193" max="8205" width="16.7109375" style="1" customWidth="1"/>
    <col min="8206" max="8206" width="11.5703125" style="1"/>
    <col min="8207" max="8207" width="14.42578125" style="1" bestFit="1" customWidth="1"/>
    <col min="8208" max="8447" width="11.5703125" style="1"/>
    <col min="8448" max="8448" width="33.7109375" style="1" customWidth="1"/>
    <col min="8449" max="8461" width="16.7109375" style="1" customWidth="1"/>
    <col min="8462" max="8462" width="11.5703125" style="1"/>
    <col min="8463" max="8463" width="14.42578125" style="1" bestFit="1" customWidth="1"/>
    <col min="8464" max="8703" width="11.5703125" style="1"/>
    <col min="8704" max="8704" width="33.7109375" style="1" customWidth="1"/>
    <col min="8705" max="8717" width="16.7109375" style="1" customWidth="1"/>
    <col min="8718" max="8718" width="11.5703125" style="1"/>
    <col min="8719" max="8719" width="14.42578125" style="1" bestFit="1" customWidth="1"/>
    <col min="8720" max="8959" width="11.5703125" style="1"/>
    <col min="8960" max="8960" width="33.7109375" style="1" customWidth="1"/>
    <col min="8961" max="8973" width="16.7109375" style="1" customWidth="1"/>
    <col min="8974" max="8974" width="11.5703125" style="1"/>
    <col min="8975" max="8975" width="14.42578125" style="1" bestFit="1" customWidth="1"/>
    <col min="8976" max="9215" width="11.5703125" style="1"/>
    <col min="9216" max="9216" width="33.7109375" style="1" customWidth="1"/>
    <col min="9217" max="9229" width="16.7109375" style="1" customWidth="1"/>
    <col min="9230" max="9230" width="11.5703125" style="1"/>
    <col min="9231" max="9231" width="14.42578125" style="1" bestFit="1" customWidth="1"/>
    <col min="9232" max="9471" width="11.5703125" style="1"/>
    <col min="9472" max="9472" width="33.7109375" style="1" customWidth="1"/>
    <col min="9473" max="9485" width="16.7109375" style="1" customWidth="1"/>
    <col min="9486" max="9486" width="11.5703125" style="1"/>
    <col min="9487" max="9487" width="14.42578125" style="1" bestFit="1" customWidth="1"/>
    <col min="9488" max="9727" width="11.5703125" style="1"/>
    <col min="9728" max="9728" width="33.7109375" style="1" customWidth="1"/>
    <col min="9729" max="9741" width="16.7109375" style="1" customWidth="1"/>
    <col min="9742" max="9742" width="11.5703125" style="1"/>
    <col min="9743" max="9743" width="14.42578125" style="1" bestFit="1" customWidth="1"/>
    <col min="9744" max="9983" width="11.5703125" style="1"/>
    <col min="9984" max="9984" width="33.7109375" style="1" customWidth="1"/>
    <col min="9985" max="9997" width="16.7109375" style="1" customWidth="1"/>
    <col min="9998" max="9998" width="11.5703125" style="1"/>
    <col min="9999" max="9999" width="14.42578125" style="1" bestFit="1" customWidth="1"/>
    <col min="10000" max="10239" width="11.5703125" style="1"/>
    <col min="10240" max="10240" width="33.7109375" style="1" customWidth="1"/>
    <col min="10241" max="10253" width="16.7109375" style="1" customWidth="1"/>
    <col min="10254" max="10254" width="11.5703125" style="1"/>
    <col min="10255" max="10255" width="14.42578125" style="1" bestFit="1" customWidth="1"/>
    <col min="10256" max="10495" width="11.5703125" style="1"/>
    <col min="10496" max="10496" width="33.7109375" style="1" customWidth="1"/>
    <col min="10497" max="10509" width="16.7109375" style="1" customWidth="1"/>
    <col min="10510" max="10510" width="11.5703125" style="1"/>
    <col min="10511" max="10511" width="14.42578125" style="1" bestFit="1" customWidth="1"/>
    <col min="10512" max="10751" width="11.5703125" style="1"/>
    <col min="10752" max="10752" width="33.7109375" style="1" customWidth="1"/>
    <col min="10753" max="10765" width="16.7109375" style="1" customWidth="1"/>
    <col min="10766" max="10766" width="11.5703125" style="1"/>
    <col min="10767" max="10767" width="14.42578125" style="1" bestFit="1" customWidth="1"/>
    <col min="10768" max="11007" width="11.5703125" style="1"/>
    <col min="11008" max="11008" width="33.7109375" style="1" customWidth="1"/>
    <col min="11009" max="11021" width="16.7109375" style="1" customWidth="1"/>
    <col min="11022" max="11022" width="11.5703125" style="1"/>
    <col min="11023" max="11023" width="14.42578125" style="1" bestFit="1" customWidth="1"/>
    <col min="11024" max="11263" width="11.5703125" style="1"/>
    <col min="11264" max="11264" width="33.7109375" style="1" customWidth="1"/>
    <col min="11265" max="11277" width="16.7109375" style="1" customWidth="1"/>
    <col min="11278" max="11278" width="11.5703125" style="1"/>
    <col min="11279" max="11279" width="14.42578125" style="1" bestFit="1" customWidth="1"/>
    <col min="11280" max="11519" width="11.5703125" style="1"/>
    <col min="11520" max="11520" width="33.7109375" style="1" customWidth="1"/>
    <col min="11521" max="11533" width="16.7109375" style="1" customWidth="1"/>
    <col min="11534" max="11534" width="11.5703125" style="1"/>
    <col min="11535" max="11535" width="14.42578125" style="1" bestFit="1" customWidth="1"/>
    <col min="11536" max="11775" width="11.5703125" style="1"/>
    <col min="11776" max="11776" width="33.7109375" style="1" customWidth="1"/>
    <col min="11777" max="11789" width="16.7109375" style="1" customWidth="1"/>
    <col min="11790" max="11790" width="11.5703125" style="1"/>
    <col min="11791" max="11791" width="14.42578125" style="1" bestFit="1" customWidth="1"/>
    <col min="11792" max="12031" width="11.5703125" style="1"/>
    <col min="12032" max="12032" width="33.7109375" style="1" customWidth="1"/>
    <col min="12033" max="12045" width="16.7109375" style="1" customWidth="1"/>
    <col min="12046" max="12046" width="11.5703125" style="1"/>
    <col min="12047" max="12047" width="14.42578125" style="1" bestFit="1" customWidth="1"/>
    <col min="12048" max="12287" width="11.5703125" style="1"/>
    <col min="12288" max="12288" width="33.7109375" style="1" customWidth="1"/>
    <col min="12289" max="12301" width="16.7109375" style="1" customWidth="1"/>
    <col min="12302" max="12302" width="11.5703125" style="1"/>
    <col min="12303" max="12303" width="14.42578125" style="1" bestFit="1" customWidth="1"/>
    <col min="12304" max="12543" width="11.5703125" style="1"/>
    <col min="12544" max="12544" width="33.7109375" style="1" customWidth="1"/>
    <col min="12545" max="12557" width="16.7109375" style="1" customWidth="1"/>
    <col min="12558" max="12558" width="11.5703125" style="1"/>
    <col min="12559" max="12559" width="14.42578125" style="1" bestFit="1" customWidth="1"/>
    <col min="12560" max="12799" width="11.5703125" style="1"/>
    <col min="12800" max="12800" width="33.7109375" style="1" customWidth="1"/>
    <col min="12801" max="12813" width="16.7109375" style="1" customWidth="1"/>
    <col min="12814" max="12814" width="11.5703125" style="1"/>
    <col min="12815" max="12815" width="14.42578125" style="1" bestFit="1" customWidth="1"/>
    <col min="12816" max="13055" width="11.5703125" style="1"/>
    <col min="13056" max="13056" width="33.7109375" style="1" customWidth="1"/>
    <col min="13057" max="13069" width="16.7109375" style="1" customWidth="1"/>
    <col min="13070" max="13070" width="11.5703125" style="1"/>
    <col min="13071" max="13071" width="14.42578125" style="1" bestFit="1" customWidth="1"/>
    <col min="13072" max="13311" width="11.5703125" style="1"/>
    <col min="13312" max="13312" width="33.7109375" style="1" customWidth="1"/>
    <col min="13313" max="13325" width="16.7109375" style="1" customWidth="1"/>
    <col min="13326" max="13326" width="11.5703125" style="1"/>
    <col min="13327" max="13327" width="14.42578125" style="1" bestFit="1" customWidth="1"/>
    <col min="13328" max="13567" width="11.5703125" style="1"/>
    <col min="13568" max="13568" width="33.7109375" style="1" customWidth="1"/>
    <col min="13569" max="13581" width="16.7109375" style="1" customWidth="1"/>
    <col min="13582" max="13582" width="11.5703125" style="1"/>
    <col min="13583" max="13583" width="14.42578125" style="1" bestFit="1" customWidth="1"/>
    <col min="13584" max="13823" width="11.5703125" style="1"/>
    <col min="13824" max="13824" width="33.7109375" style="1" customWidth="1"/>
    <col min="13825" max="13837" width="16.7109375" style="1" customWidth="1"/>
    <col min="13838" max="13838" width="11.5703125" style="1"/>
    <col min="13839" max="13839" width="14.42578125" style="1" bestFit="1" customWidth="1"/>
    <col min="13840" max="14079" width="11.5703125" style="1"/>
    <col min="14080" max="14080" width="33.7109375" style="1" customWidth="1"/>
    <col min="14081" max="14093" width="16.7109375" style="1" customWidth="1"/>
    <col min="14094" max="14094" width="11.5703125" style="1"/>
    <col min="14095" max="14095" width="14.42578125" style="1" bestFit="1" customWidth="1"/>
    <col min="14096" max="14335" width="11.5703125" style="1"/>
    <col min="14336" max="14336" width="33.7109375" style="1" customWidth="1"/>
    <col min="14337" max="14349" width="16.7109375" style="1" customWidth="1"/>
    <col min="14350" max="14350" width="11.5703125" style="1"/>
    <col min="14351" max="14351" width="14.42578125" style="1" bestFit="1" customWidth="1"/>
    <col min="14352" max="14591" width="11.5703125" style="1"/>
    <col min="14592" max="14592" width="33.7109375" style="1" customWidth="1"/>
    <col min="14593" max="14605" width="16.7109375" style="1" customWidth="1"/>
    <col min="14606" max="14606" width="11.5703125" style="1"/>
    <col min="14607" max="14607" width="14.42578125" style="1" bestFit="1" customWidth="1"/>
    <col min="14608" max="14847" width="11.5703125" style="1"/>
    <col min="14848" max="14848" width="33.7109375" style="1" customWidth="1"/>
    <col min="14849" max="14861" width="16.7109375" style="1" customWidth="1"/>
    <col min="14862" max="14862" width="11.5703125" style="1"/>
    <col min="14863" max="14863" width="14.42578125" style="1" bestFit="1" customWidth="1"/>
    <col min="14864" max="15103" width="11.5703125" style="1"/>
    <col min="15104" max="15104" width="33.7109375" style="1" customWidth="1"/>
    <col min="15105" max="15117" width="16.7109375" style="1" customWidth="1"/>
    <col min="15118" max="15118" width="11.5703125" style="1"/>
    <col min="15119" max="15119" width="14.42578125" style="1" bestFit="1" customWidth="1"/>
    <col min="15120" max="15359" width="11.5703125" style="1"/>
    <col min="15360" max="15360" width="33.7109375" style="1" customWidth="1"/>
    <col min="15361" max="15373" width="16.7109375" style="1" customWidth="1"/>
    <col min="15374" max="15374" width="11.5703125" style="1"/>
    <col min="15375" max="15375" width="14.42578125" style="1" bestFit="1" customWidth="1"/>
    <col min="15376" max="15615" width="11.5703125" style="1"/>
    <col min="15616" max="15616" width="33.7109375" style="1" customWidth="1"/>
    <col min="15617" max="15629" width="16.7109375" style="1" customWidth="1"/>
    <col min="15630" max="15630" width="11.5703125" style="1"/>
    <col min="15631" max="15631" width="14.42578125" style="1" bestFit="1" customWidth="1"/>
    <col min="15632" max="15871" width="11.5703125" style="1"/>
    <col min="15872" max="15872" width="33.7109375" style="1" customWidth="1"/>
    <col min="15873" max="15885" width="16.7109375" style="1" customWidth="1"/>
    <col min="15886" max="15886" width="11.5703125" style="1"/>
    <col min="15887" max="15887" width="14.42578125" style="1" bestFit="1" customWidth="1"/>
    <col min="15888" max="16127" width="11.5703125" style="1"/>
    <col min="16128" max="16128" width="33.7109375" style="1" customWidth="1"/>
    <col min="16129" max="16141" width="16.7109375" style="1" customWidth="1"/>
    <col min="16142" max="16142" width="11.5703125" style="1"/>
    <col min="16143" max="16143" width="14.42578125" style="1" bestFit="1" customWidth="1"/>
    <col min="16144" max="16384" width="11.5703125" style="1"/>
  </cols>
  <sheetData>
    <row r="2" spans="2:1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>
      <c r="B3" s="14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2:15">
      <c r="B4" s="14" t="s">
        <v>120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2:15">
      <c r="B5" s="14" t="s">
        <v>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2:1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5" ht="24.95" customHeight="1">
      <c r="B7" s="3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5" t="s">
        <v>17</v>
      </c>
    </row>
    <row r="8" spans="2:15" ht="11.45" customHeight="1">
      <c r="B8" s="6" t="s">
        <v>18</v>
      </c>
      <c r="C8" s="8">
        <v>1288971.3002825228</v>
      </c>
      <c r="D8" s="8">
        <v>4483880.8780124485</v>
      </c>
      <c r="E8" s="8">
        <v>4900615.5238167103</v>
      </c>
      <c r="F8" s="8">
        <v>4099924.0860816324</v>
      </c>
      <c r="G8" s="8">
        <v>3623858.951864081</v>
      </c>
      <c r="H8" s="8">
        <v>5187754.3400689941</v>
      </c>
      <c r="I8" s="8">
        <v>5109396.6613663649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7">
        <f>SUM(C8:N8)</f>
        <v>28694401.741492756</v>
      </c>
    </row>
    <row r="9" spans="2:15" ht="11.45" customHeight="1">
      <c r="B9" s="6" t="s">
        <v>19</v>
      </c>
      <c r="C9" s="8">
        <v>84534.75991895367</v>
      </c>
      <c r="D9" s="8">
        <v>74276.732661158632</v>
      </c>
      <c r="E9" s="8">
        <v>88381.793939582232</v>
      </c>
      <c r="F9" s="8">
        <v>90578.473000259939</v>
      </c>
      <c r="G9" s="8">
        <v>90524.26989854261</v>
      </c>
      <c r="H9" s="8">
        <v>75966.020072787171</v>
      </c>
      <c r="I9" s="8">
        <v>70460.311823657816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7">
        <f t="shared" ref="O9:O72" si="0">SUM(C9:N9)</f>
        <v>574722.36131494213</v>
      </c>
    </row>
    <row r="10" spans="2:15" ht="11.45" customHeight="1">
      <c r="B10" s="6" t="s">
        <v>20</v>
      </c>
      <c r="C10" s="8">
        <v>637.86934673366852</v>
      </c>
      <c r="D10" s="8">
        <v>445.60804020100471</v>
      </c>
      <c r="E10" s="8">
        <v>690.37185929648342</v>
      </c>
      <c r="F10" s="8">
        <v>899.38693467336714</v>
      </c>
      <c r="G10" s="8">
        <v>969.22613065326641</v>
      </c>
      <c r="H10" s="8">
        <v>491.61809045225988</v>
      </c>
      <c r="I10" s="8">
        <v>428.17587939698353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7">
        <f t="shared" si="0"/>
        <v>4562.2562814070343</v>
      </c>
    </row>
    <row r="11" spans="2:15" ht="11.45" customHeight="1">
      <c r="B11" s="6" t="s">
        <v>21</v>
      </c>
      <c r="C11" s="8">
        <v>276.98994974874279</v>
      </c>
      <c r="D11" s="8">
        <v>274.57788944723529</v>
      </c>
      <c r="E11" s="8">
        <v>214.19095477386918</v>
      </c>
      <c r="F11" s="8">
        <v>1411.4974874371849</v>
      </c>
      <c r="G11" s="8">
        <v>1073.2311557788964</v>
      </c>
      <c r="H11" s="8">
        <v>556.64321608040575</v>
      </c>
      <c r="I11" s="8">
        <v>342.11055276381893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7">
        <f t="shared" si="0"/>
        <v>4149.2412060301531</v>
      </c>
    </row>
    <row r="12" spans="2:15" ht="11.45" customHeight="1">
      <c r="B12" s="6" t="s">
        <v>22</v>
      </c>
      <c r="C12" s="8">
        <v>1752073.7193995281</v>
      </c>
      <c r="D12" s="8">
        <v>1777670.1792885894</v>
      </c>
      <c r="E12" s="8">
        <v>1866713.5432522644</v>
      </c>
      <c r="F12" s="8">
        <v>2044306.3141713252</v>
      </c>
      <c r="G12" s="8">
        <v>1850920.446032499</v>
      </c>
      <c r="H12" s="8">
        <v>1665475.3052186738</v>
      </c>
      <c r="I12" s="8">
        <v>1697991.5700080707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7">
        <f t="shared" si="0"/>
        <v>12655151.077370951</v>
      </c>
    </row>
    <row r="13" spans="2:15" ht="11.45" customHeight="1">
      <c r="B13" s="6" t="s">
        <v>23</v>
      </c>
      <c r="C13" s="8">
        <v>24817.355091261135</v>
      </c>
      <c r="D13" s="8">
        <v>13876.586693108009</v>
      </c>
      <c r="E13" s="8">
        <v>31464.039179366679</v>
      </c>
      <c r="F13" s="8">
        <v>30347.461174289085</v>
      </c>
      <c r="G13" s="8">
        <v>46193.305893388861</v>
      </c>
      <c r="H13" s="8">
        <v>52622.91029769602</v>
      </c>
      <c r="I13" s="8">
        <v>45241.64579763612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7">
        <f t="shared" si="0"/>
        <v>244563.3041267459</v>
      </c>
    </row>
    <row r="14" spans="2:15" ht="11.45" customHeight="1">
      <c r="B14" s="6" t="s">
        <v>24</v>
      </c>
      <c r="C14" s="8">
        <v>31.626953569565096</v>
      </c>
      <c r="D14" s="8">
        <v>1336.9496736079225</v>
      </c>
      <c r="E14" s="8">
        <v>2350.5521199487398</v>
      </c>
      <c r="F14" s="8">
        <v>1918.6781741188261</v>
      </c>
      <c r="G14" s="8">
        <v>1949.5547907414384</v>
      </c>
      <c r="H14" s="8">
        <v>2362.9492857126183</v>
      </c>
      <c r="I14" s="8">
        <v>1600.3218171971355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7">
        <f t="shared" si="0"/>
        <v>11550.632814896246</v>
      </c>
    </row>
    <row r="15" spans="2:15" ht="11.45" customHeight="1">
      <c r="B15" s="6" t="s">
        <v>25</v>
      </c>
      <c r="C15" s="8">
        <v>11571.787584619076</v>
      </c>
      <c r="D15" s="8">
        <v>13300.775875592226</v>
      </c>
      <c r="E15" s="8">
        <v>11771.247229781526</v>
      </c>
      <c r="F15" s="8">
        <v>13940.12005247231</v>
      </c>
      <c r="G15" s="8">
        <v>15906.501931908122</v>
      </c>
      <c r="H15" s="8">
        <v>15300.398500685429</v>
      </c>
      <c r="I15" s="8">
        <v>16699.296581659135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7">
        <f t="shared" si="0"/>
        <v>98490.127756717819</v>
      </c>
    </row>
    <row r="16" spans="2:15" ht="11.45" customHeight="1">
      <c r="B16" s="6" t="s">
        <v>26</v>
      </c>
      <c r="C16" s="8">
        <v>25512900.348506704</v>
      </c>
      <c r="D16" s="8">
        <v>16272355.646038383</v>
      </c>
      <c r="E16" s="8">
        <v>23705223.250876047</v>
      </c>
      <c r="F16" s="8">
        <v>12822220.167235024</v>
      </c>
      <c r="G16" s="8">
        <v>20989080.576535843</v>
      </c>
      <c r="H16" s="8">
        <v>25411404.377327599</v>
      </c>
      <c r="I16" s="8">
        <v>30023661.744619198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7">
        <f>SUM(C16:N16)</f>
        <v>154736846.11113879</v>
      </c>
    </row>
    <row r="17" spans="2:15" ht="11.45" customHeight="1">
      <c r="B17" s="6" t="s">
        <v>27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7">
        <f t="shared" si="0"/>
        <v>0</v>
      </c>
    </row>
    <row r="18" spans="2:15" ht="11.45" customHeight="1">
      <c r="B18" s="6" t="s">
        <v>28</v>
      </c>
      <c r="C18" s="8">
        <v>1047916.9379997179</v>
      </c>
      <c r="D18" s="8">
        <v>1.9033686575711231</v>
      </c>
      <c r="E18" s="8">
        <v>42796.368429411435</v>
      </c>
      <c r="F18" s="8">
        <v>2428787.3425547695</v>
      </c>
      <c r="G18" s="8">
        <v>4412390.0014761984</v>
      </c>
      <c r="H18" s="8">
        <v>4041364.3683098988</v>
      </c>
      <c r="I18" s="8">
        <v>4485003.2188347969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7">
        <f t="shared" si="0"/>
        <v>16458260.140973451</v>
      </c>
    </row>
    <row r="19" spans="2:15" ht="11.45" customHeight="1">
      <c r="B19" s="6" t="s">
        <v>29</v>
      </c>
      <c r="C19" s="8">
        <v>7332.3136344074537</v>
      </c>
      <c r="D19" s="8">
        <v>8700.0007550713635</v>
      </c>
      <c r="E19" s="8">
        <v>7784.1365640808472</v>
      </c>
      <c r="F19" s="8">
        <v>10230.54471772642</v>
      </c>
      <c r="G19" s="8">
        <v>11705.283200233494</v>
      </c>
      <c r="H19" s="8">
        <v>11327.475012757292</v>
      </c>
      <c r="I19" s="8">
        <v>10833.498072391367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7">
        <f t="shared" si="0"/>
        <v>67913.251956668231</v>
      </c>
    </row>
    <row r="20" spans="2:15" ht="11.45" customHeight="1">
      <c r="B20" s="6" t="s">
        <v>30</v>
      </c>
      <c r="C20" s="8">
        <v>4441.2098989659562</v>
      </c>
      <c r="D20" s="8">
        <v>5169.9048760266878</v>
      </c>
      <c r="E20" s="8">
        <v>4690.5421595848056</v>
      </c>
      <c r="F20" s="8">
        <v>6116.3793999449954</v>
      </c>
      <c r="G20" s="8">
        <v>6947.6300031700193</v>
      </c>
      <c r="H20" s="8">
        <v>6706.9806329680387</v>
      </c>
      <c r="I20" s="8">
        <v>6446.6373580615327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7">
        <f t="shared" si="0"/>
        <v>40519.284328722038</v>
      </c>
    </row>
    <row r="21" spans="2:15" ht="11.45" customHeight="1">
      <c r="B21" s="6" t="s">
        <v>31</v>
      </c>
      <c r="C21" s="8">
        <v>6686.3655943073318</v>
      </c>
      <c r="D21" s="8">
        <v>2717.4612364433974</v>
      </c>
      <c r="E21" s="8">
        <v>3066.3934089531408</v>
      </c>
      <c r="F21" s="8">
        <v>3397.3089846773842</v>
      </c>
      <c r="G21" s="8">
        <v>5801.0718686128394</v>
      </c>
      <c r="H21" s="8">
        <v>6205.8819314761568</v>
      </c>
      <c r="I21" s="8">
        <v>6205.0069988059595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7">
        <f t="shared" si="0"/>
        <v>34079.490023276208</v>
      </c>
    </row>
    <row r="22" spans="2:15" ht="11.45" customHeight="1">
      <c r="B22" s="6" t="s">
        <v>32</v>
      </c>
      <c r="C22" s="8">
        <v>0</v>
      </c>
      <c r="D22" s="8">
        <v>0</v>
      </c>
      <c r="E22" s="8">
        <v>317.92964824120577</v>
      </c>
      <c r="F22" s="8">
        <v>889.6331658291449</v>
      </c>
      <c r="G22" s="8">
        <v>533.54271356784204</v>
      </c>
      <c r="H22" s="8">
        <v>437.06030150753776</v>
      </c>
      <c r="I22" s="8">
        <v>438.64321608040251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7">
        <f t="shared" si="0"/>
        <v>2616.8090452261326</v>
      </c>
    </row>
    <row r="23" spans="2:15" ht="11.45" customHeight="1">
      <c r="B23" s="6" t="s">
        <v>33</v>
      </c>
      <c r="C23" s="8">
        <v>1284866.1698919164</v>
      </c>
      <c r="D23" s="8">
        <v>1184432.2767684159</v>
      </c>
      <c r="E23" s="8">
        <v>1134647.2440785</v>
      </c>
      <c r="F23" s="8">
        <v>1179463.0342731802</v>
      </c>
      <c r="G23" s="8">
        <v>1208319.0321384394</v>
      </c>
      <c r="H23" s="8">
        <v>1171865.5201668451</v>
      </c>
      <c r="I23" s="8">
        <v>1285288.5238695957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7">
        <f t="shared" si="0"/>
        <v>8448881.8011868931</v>
      </c>
    </row>
    <row r="24" spans="2:15" ht="11.45" customHeight="1">
      <c r="B24" s="1" t="s">
        <v>34</v>
      </c>
      <c r="C24" s="8">
        <v>2103238.0271688802</v>
      </c>
      <c r="D24" s="8">
        <v>1602903.5684827098</v>
      </c>
      <c r="E24" s="8">
        <v>2198332.904461259</v>
      </c>
      <c r="F24" s="8">
        <v>2115175.0992485099</v>
      </c>
      <c r="G24" s="8">
        <v>1931327.0361840106</v>
      </c>
      <c r="H24" s="8">
        <v>2173194.5801810771</v>
      </c>
      <c r="I24" s="8">
        <v>1350658.6877030388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7">
        <f t="shared" si="0"/>
        <v>13474829.903429486</v>
      </c>
    </row>
    <row r="25" spans="2:15" ht="11.45" customHeight="1">
      <c r="B25" s="6" t="s">
        <v>35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7">
        <f t="shared" si="0"/>
        <v>0</v>
      </c>
    </row>
    <row r="26" spans="2:15" ht="11.45" customHeight="1">
      <c r="B26" s="6" t="s">
        <v>36</v>
      </c>
      <c r="C26" s="8">
        <v>34408.321486226007</v>
      </c>
      <c r="D26" s="8">
        <v>26894.218434505485</v>
      </c>
      <c r="E26" s="8">
        <v>24902.267468585396</v>
      </c>
      <c r="F26" s="8">
        <v>25952.943596311809</v>
      </c>
      <c r="G26" s="8">
        <v>26901.373686053117</v>
      </c>
      <c r="H26" s="8">
        <v>25352.287415217495</v>
      </c>
      <c r="I26" s="8">
        <v>24120.490861838782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7">
        <f t="shared" si="0"/>
        <v>188531.90294873808</v>
      </c>
    </row>
    <row r="27" spans="2:15" ht="11.45" customHeight="1">
      <c r="B27" s="6" t="s">
        <v>37</v>
      </c>
      <c r="C27" s="8">
        <v>22189.178122882397</v>
      </c>
      <c r="D27" s="8">
        <v>17650.512677055893</v>
      </c>
      <c r="E27" s="8">
        <v>35051.722857167108</v>
      </c>
      <c r="F27" s="8">
        <v>37308.309408427631</v>
      </c>
      <c r="G27" s="8">
        <v>2.1300563265526478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7">
        <f t="shared" si="0"/>
        <v>112201.85312185959</v>
      </c>
    </row>
    <row r="28" spans="2:15" ht="11.45" customHeight="1">
      <c r="B28" s="6" t="s">
        <v>38</v>
      </c>
      <c r="C28" s="8">
        <v>15399850.54213834</v>
      </c>
      <c r="D28" s="8">
        <v>14619938.033803515</v>
      </c>
      <c r="E28" s="8">
        <v>14370595.474986764</v>
      </c>
      <c r="F28" s="8">
        <v>4728638.1589664714</v>
      </c>
      <c r="G28" s="8">
        <v>7522714.0885051452</v>
      </c>
      <c r="H28" s="8">
        <v>14280676.021382689</v>
      </c>
      <c r="I28" s="8">
        <v>15554167.528139647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7">
        <f t="shared" si="0"/>
        <v>86476579.847922578</v>
      </c>
    </row>
    <row r="29" spans="2:15" ht="11.45" customHeight="1">
      <c r="B29" s="6" t="s">
        <v>39</v>
      </c>
      <c r="C29" s="8">
        <v>79330.389477837991</v>
      </c>
      <c r="D29" s="8">
        <v>71630.130444279246</v>
      </c>
      <c r="E29" s="8">
        <v>59506.619469668236</v>
      </c>
      <c r="F29" s="8">
        <v>149743.70285333518</v>
      </c>
      <c r="G29" s="8">
        <v>100191.77308976106</v>
      </c>
      <c r="H29" s="8">
        <v>85792.760970778298</v>
      </c>
      <c r="I29" s="8">
        <v>77552.753717367188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7">
        <f t="shared" si="0"/>
        <v>623748.13002302719</v>
      </c>
    </row>
    <row r="30" spans="2:15" ht="11.45" customHeight="1">
      <c r="B30" s="6" t="s">
        <v>40</v>
      </c>
      <c r="C30" s="8">
        <v>20593.717990607332</v>
      </c>
      <c r="D30" s="8">
        <v>13570.235522346298</v>
      </c>
      <c r="E30" s="8">
        <v>18919.395379249421</v>
      </c>
      <c r="F30" s="8">
        <v>22643.324342796957</v>
      </c>
      <c r="G30" s="8">
        <v>18027.188714796357</v>
      </c>
      <c r="H30" s="8">
        <v>12840.576164522725</v>
      </c>
      <c r="I30" s="8">
        <v>14680.219285748442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7">
        <f t="shared" si="0"/>
        <v>121274.65740006753</v>
      </c>
    </row>
    <row r="31" spans="2:15" ht="11.45" customHeight="1">
      <c r="B31" s="6" t="s">
        <v>41</v>
      </c>
      <c r="C31" s="8">
        <v>1678031.9195248862</v>
      </c>
      <c r="D31" s="8">
        <v>1487994.3405906009</v>
      </c>
      <c r="E31" s="8">
        <v>1613568.1569253164</v>
      </c>
      <c r="F31" s="8">
        <v>1285739.6973073264</v>
      </c>
      <c r="G31" s="8">
        <v>1507589.293342236</v>
      </c>
      <c r="H31" s="8">
        <v>1532208.8368039574</v>
      </c>
      <c r="I31" s="8">
        <v>1896197.0559295597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7">
        <f t="shared" si="0"/>
        <v>11001329.300423885</v>
      </c>
    </row>
    <row r="32" spans="2:15" ht="11.45" customHeight="1">
      <c r="B32" s="6" t="s">
        <v>42</v>
      </c>
      <c r="C32" s="8">
        <v>1383.5376884422117</v>
      </c>
      <c r="D32" s="8">
        <v>1445.4020100502521</v>
      </c>
      <c r="E32" s="8">
        <v>990.17085427135623</v>
      </c>
      <c r="F32" s="8">
        <v>1044.0854271356793</v>
      </c>
      <c r="G32" s="8">
        <v>1058.1407035175889</v>
      </c>
      <c r="H32" s="8">
        <v>1086.2010050251247</v>
      </c>
      <c r="I32" s="8">
        <v>1696.7286432160802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7">
        <f t="shared" si="0"/>
        <v>8704.266331658293</v>
      </c>
    </row>
    <row r="33" spans="2:15" ht="11.45" customHeight="1">
      <c r="B33" s="6" t="s">
        <v>43</v>
      </c>
      <c r="C33" s="8">
        <v>6990.0456466926062</v>
      </c>
      <c r="D33" s="8">
        <v>6594.9479122092853</v>
      </c>
      <c r="E33" s="8">
        <v>7613.7026884285342</v>
      </c>
      <c r="F33" s="8">
        <v>7010.1904621647136</v>
      </c>
      <c r="G33" s="8">
        <v>8037.4266116913141</v>
      </c>
      <c r="H33" s="8">
        <v>7276.9382492940886</v>
      </c>
      <c r="I33" s="8">
        <v>6640.3697622380651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7">
        <f t="shared" si="0"/>
        <v>50163.621332718605</v>
      </c>
    </row>
    <row r="34" spans="2:15" ht="11.45" customHeight="1">
      <c r="B34" s="6" t="s">
        <v>44</v>
      </c>
      <c r="C34" s="8">
        <v>11681.317561441909</v>
      </c>
      <c r="D34" s="8">
        <v>10875.431845393066</v>
      </c>
      <c r="E34" s="8">
        <v>12107.182007512811</v>
      </c>
      <c r="F34" s="8">
        <v>30642.063805235975</v>
      </c>
      <c r="G34" s="8">
        <v>36245.653535103294</v>
      </c>
      <c r="H34" s="8">
        <v>31794.577630407435</v>
      </c>
      <c r="I34" s="8">
        <v>29002.557130223158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7">
        <f t="shared" si="0"/>
        <v>162348.78351531766</v>
      </c>
    </row>
    <row r="35" spans="2:15" ht="11.45" customHeight="1">
      <c r="B35" s="6" t="s">
        <v>45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7">
        <f t="shared" si="0"/>
        <v>0</v>
      </c>
    </row>
    <row r="36" spans="2:15" ht="11.45" customHeight="1">
      <c r="B36" s="6" t="s">
        <v>46</v>
      </c>
      <c r="C36" s="8">
        <v>39076.274825455825</v>
      </c>
      <c r="D36" s="8">
        <v>31754.802174438413</v>
      </c>
      <c r="E36" s="8">
        <v>48705.754501206866</v>
      </c>
      <c r="F36" s="8">
        <v>69945.850728029051</v>
      </c>
      <c r="G36" s="8">
        <v>47986.378797052617</v>
      </c>
      <c r="H36" s="8">
        <v>54196.630230719864</v>
      </c>
      <c r="I36" s="8">
        <v>61351.685570389185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7">
        <f t="shared" si="0"/>
        <v>353017.37682729185</v>
      </c>
    </row>
    <row r="37" spans="2:15" ht="11.45" customHeight="1">
      <c r="B37" s="6" t="s">
        <v>47</v>
      </c>
      <c r="C37" s="8">
        <v>18872.917365618796</v>
      </c>
      <c r="D37" s="8">
        <v>16169.242678571114</v>
      </c>
      <c r="E37" s="8">
        <v>15151.898859449197</v>
      </c>
      <c r="F37" s="8">
        <v>12740.421271058305</v>
      </c>
      <c r="G37" s="8">
        <v>17523.551860478645</v>
      </c>
      <c r="H37" s="8">
        <v>16691.682604902002</v>
      </c>
      <c r="I37" s="8">
        <v>20526.105953644928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7">
        <f t="shared" si="0"/>
        <v>117675.82059372299</v>
      </c>
    </row>
    <row r="38" spans="2:15" ht="11.45" customHeight="1">
      <c r="B38" s="6" t="s">
        <v>48</v>
      </c>
      <c r="C38" s="8">
        <v>1080.5376884422101</v>
      </c>
      <c r="D38" s="8">
        <v>0</v>
      </c>
      <c r="E38" s="8">
        <v>3477.4422110552719</v>
      </c>
      <c r="F38" s="8">
        <v>3004.4874371859642</v>
      </c>
      <c r="G38" s="8">
        <v>1635.271356783926</v>
      </c>
      <c r="H38" s="8">
        <v>2680.5276381909721</v>
      </c>
      <c r="I38" s="8">
        <v>1187.0954773869339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7">
        <f t="shared" si="0"/>
        <v>13065.361809045278</v>
      </c>
    </row>
    <row r="39" spans="2:15" ht="11.45" customHeight="1">
      <c r="B39" s="6" t="s">
        <v>49</v>
      </c>
      <c r="C39" s="8">
        <v>1154.7106953873667</v>
      </c>
      <c r="D39" s="8">
        <v>1341.3934863364909</v>
      </c>
      <c r="E39" s="8">
        <v>1265.3153500031863</v>
      </c>
      <c r="F39" s="8">
        <v>1729.6935041674153</v>
      </c>
      <c r="G39" s="8">
        <v>1846.0619703027864</v>
      </c>
      <c r="H39" s="8">
        <v>1796.9651042446703</v>
      </c>
      <c r="I39" s="8">
        <v>1692.7272111512364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7">
        <f t="shared" si="0"/>
        <v>10826.867321593152</v>
      </c>
    </row>
    <row r="40" spans="2:15" ht="11.45" customHeight="1">
      <c r="B40" s="6" t="s">
        <v>50</v>
      </c>
      <c r="C40" s="8">
        <v>4064.954087336323</v>
      </c>
      <c r="D40" s="8">
        <v>4212.6216533369743</v>
      </c>
      <c r="E40" s="8">
        <v>4923.8942838350722</v>
      </c>
      <c r="F40" s="8">
        <v>5952.304781868791</v>
      </c>
      <c r="G40" s="8">
        <v>6921.6386047174001</v>
      </c>
      <c r="H40" s="8">
        <v>6694.1984201830037</v>
      </c>
      <c r="I40" s="8">
        <v>6795.9351823030956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7">
        <f t="shared" si="0"/>
        <v>39565.547013580661</v>
      </c>
    </row>
    <row r="41" spans="2:15" ht="11.45" customHeight="1">
      <c r="B41" s="6" t="s">
        <v>51</v>
      </c>
      <c r="C41" s="8">
        <v>105890.53926407667</v>
      </c>
      <c r="D41" s="8">
        <v>77015.228952750462</v>
      </c>
      <c r="E41" s="8">
        <v>43466.960417406393</v>
      </c>
      <c r="F41" s="8">
        <v>0</v>
      </c>
      <c r="G41" s="8">
        <v>0</v>
      </c>
      <c r="H41" s="8">
        <v>4.254901931E-6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7">
        <f t="shared" si="0"/>
        <v>226372.72863848842</v>
      </c>
    </row>
    <row r="42" spans="2:15" ht="11.45" customHeight="1">
      <c r="B42" s="6" t="s">
        <v>52</v>
      </c>
      <c r="C42" s="8">
        <v>69363.668703168674</v>
      </c>
      <c r="D42" s="8">
        <v>56562.545937498071</v>
      </c>
      <c r="E42" s="8">
        <v>60098.919288563135</v>
      </c>
      <c r="F42" s="8">
        <v>54932.356627316934</v>
      </c>
      <c r="G42" s="8">
        <v>118545.81746740051</v>
      </c>
      <c r="H42" s="8">
        <v>99913.936788823223</v>
      </c>
      <c r="I42" s="8">
        <v>76092.536927382636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7">
        <f t="shared" si="0"/>
        <v>535509.78174015321</v>
      </c>
    </row>
    <row r="43" spans="2:15" ht="11.45" customHeight="1">
      <c r="B43" s="6" t="s">
        <v>53</v>
      </c>
      <c r="C43" s="8">
        <v>50404.174959964672</v>
      </c>
      <c r="D43" s="8">
        <v>55592.612844272735</v>
      </c>
      <c r="E43" s="8">
        <v>46051.382976914596</v>
      </c>
      <c r="F43" s="8">
        <v>65126.984413039376</v>
      </c>
      <c r="G43" s="8">
        <v>71132.523283516057</v>
      </c>
      <c r="H43" s="8">
        <v>72978.985174490968</v>
      </c>
      <c r="I43" s="8">
        <v>67689.639984710433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7">
        <f t="shared" si="0"/>
        <v>428976.30363690882</v>
      </c>
    </row>
    <row r="44" spans="2:15" ht="11.45" customHeight="1">
      <c r="B44" s="6" t="s">
        <v>54</v>
      </c>
      <c r="C44" s="8">
        <v>127767.95699994157</v>
      </c>
      <c r="D44" s="8">
        <v>161461.02472398058</v>
      </c>
      <c r="E44" s="8">
        <v>263034.36335729377</v>
      </c>
      <c r="F44" s="8">
        <v>284901.35369854554</v>
      </c>
      <c r="G44" s="8">
        <v>182713.43347599305</v>
      </c>
      <c r="H44" s="8">
        <v>190341.1308379035</v>
      </c>
      <c r="I44" s="8">
        <v>176615.89612329443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7">
        <f t="shared" si="0"/>
        <v>1386835.1592169527</v>
      </c>
    </row>
    <row r="45" spans="2:15" ht="11.45" customHeight="1">
      <c r="B45" s="6" t="s">
        <v>55</v>
      </c>
      <c r="C45" s="8">
        <v>61316.530471174367</v>
      </c>
      <c r="D45" s="8">
        <v>69949.719173143647</v>
      </c>
      <c r="E45" s="8">
        <v>73029.408155688696</v>
      </c>
      <c r="F45" s="8">
        <v>90356.229853567609</v>
      </c>
      <c r="G45" s="8">
        <v>99537.707180767029</v>
      </c>
      <c r="H45" s="8">
        <v>95314.310072709006</v>
      </c>
      <c r="I45" s="8">
        <v>92308.68820037914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7">
        <f t="shared" si="0"/>
        <v>581812.59310742957</v>
      </c>
    </row>
    <row r="46" spans="2:15" ht="11.45" customHeight="1">
      <c r="B46" s="6" t="s">
        <v>56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7">
        <f t="shared" si="0"/>
        <v>0</v>
      </c>
    </row>
    <row r="47" spans="2:15" ht="11.45" customHeight="1">
      <c r="B47" s="6" t="s">
        <v>57</v>
      </c>
      <c r="C47" s="8">
        <v>1130884.3114873115</v>
      </c>
      <c r="D47" s="8">
        <v>1090555.6322334732</v>
      </c>
      <c r="E47" s="8">
        <v>944764.16077729617</v>
      </c>
      <c r="F47" s="8">
        <v>1204728.2266133414</v>
      </c>
      <c r="G47" s="8">
        <v>1275913.8294248104</v>
      </c>
      <c r="H47" s="8">
        <v>1202515.0103326063</v>
      </c>
      <c r="I47" s="8">
        <v>1395895.470580487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7">
        <f t="shared" si="0"/>
        <v>8245256.6414493248</v>
      </c>
    </row>
    <row r="48" spans="2:15" ht="11.45" customHeight="1">
      <c r="B48" s="6" t="s">
        <v>58</v>
      </c>
      <c r="C48" s="8">
        <v>25548.537299902531</v>
      </c>
      <c r="D48" s="8">
        <v>20796.87253088623</v>
      </c>
      <c r="E48" s="8">
        <v>38299.102990707121</v>
      </c>
      <c r="F48" s="8">
        <v>61197.797240998618</v>
      </c>
      <c r="G48" s="8">
        <v>63070.308312805333</v>
      </c>
      <c r="H48" s="8">
        <v>68408.04934051678</v>
      </c>
      <c r="I48" s="8">
        <v>71029.269964533843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7">
        <f t="shared" si="0"/>
        <v>348349.9376803505</v>
      </c>
    </row>
    <row r="49" spans="2:15" ht="11.45" customHeight="1">
      <c r="B49" s="6" t="s">
        <v>59</v>
      </c>
      <c r="C49" s="8">
        <v>36012.248634302989</v>
      </c>
      <c r="D49" s="8">
        <v>25325.288468572806</v>
      </c>
      <c r="E49" s="8">
        <v>31663.34483002983</v>
      </c>
      <c r="F49" s="8">
        <v>78891.065249138555</v>
      </c>
      <c r="G49" s="8">
        <v>51077.379988557746</v>
      </c>
      <c r="H49" s="8">
        <v>37711.162658313406</v>
      </c>
      <c r="I49" s="8">
        <v>44457.139845721314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7">
        <f t="shared" si="0"/>
        <v>305137.62967463664</v>
      </c>
    </row>
    <row r="50" spans="2:15" ht="11.45" customHeight="1">
      <c r="B50" s="6" t="s">
        <v>60</v>
      </c>
      <c r="C50" s="8">
        <v>703434.38801250176</v>
      </c>
      <c r="D50" s="8">
        <v>885050.59837210528</v>
      </c>
      <c r="E50" s="8">
        <v>0</v>
      </c>
      <c r="F50" s="8">
        <v>338909.20557655074</v>
      </c>
      <c r="G50" s="8">
        <v>1010097.411051378</v>
      </c>
      <c r="H50" s="8">
        <v>927432.57837983978</v>
      </c>
      <c r="I50" s="8">
        <v>851915.96189818101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7">
        <f t="shared" si="0"/>
        <v>4716840.143290556</v>
      </c>
    </row>
    <row r="51" spans="2:15" ht="11.45" customHeight="1">
      <c r="B51" s="6" t="s">
        <v>61</v>
      </c>
      <c r="C51" s="8">
        <v>313970.91066967364</v>
      </c>
      <c r="D51" s="8">
        <v>256933.51988553425</v>
      </c>
      <c r="E51" s="8">
        <v>479506.7714211655</v>
      </c>
      <c r="F51" s="8">
        <v>230036.0372570841</v>
      </c>
      <c r="G51" s="8">
        <v>462286.83306781383</v>
      </c>
      <c r="H51" s="8">
        <v>463597.80357243592</v>
      </c>
      <c r="I51" s="8">
        <v>595636.99457196204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7">
        <f t="shared" si="0"/>
        <v>2801968.8704456692</v>
      </c>
    </row>
    <row r="52" spans="2:15" ht="11.45" customHeight="1">
      <c r="B52" s="6" t="s">
        <v>62</v>
      </c>
      <c r="C52" s="8">
        <v>186447.67556496797</v>
      </c>
      <c r="D52" s="8">
        <v>173463.36309922606</v>
      </c>
      <c r="E52" s="8">
        <v>262903.97836646833</v>
      </c>
      <c r="F52" s="8">
        <v>169344.60731483245</v>
      </c>
      <c r="G52" s="8">
        <v>229893.34865112667</v>
      </c>
      <c r="H52" s="8">
        <v>216392.10257502703</v>
      </c>
      <c r="I52" s="8">
        <v>278577.81790793722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7">
        <f t="shared" si="0"/>
        <v>1517022.8934795861</v>
      </c>
    </row>
    <row r="53" spans="2:15" ht="11.45" customHeight="1">
      <c r="B53" s="6" t="s">
        <v>63</v>
      </c>
      <c r="C53" s="8">
        <v>450482.3607234513</v>
      </c>
      <c r="D53" s="8">
        <v>189260.77884392292</v>
      </c>
      <c r="E53" s="8">
        <v>507072.42647504242</v>
      </c>
      <c r="F53" s="8">
        <v>280538.9134968865</v>
      </c>
      <c r="G53" s="8">
        <v>621959.7973265145</v>
      </c>
      <c r="H53" s="8">
        <v>539967.78862811835</v>
      </c>
      <c r="I53" s="8">
        <v>619807.15447488299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7">
        <f t="shared" si="0"/>
        <v>3209089.2199688186</v>
      </c>
    </row>
    <row r="54" spans="2:15" ht="11.45" customHeight="1">
      <c r="B54" s="6" t="s">
        <v>64</v>
      </c>
      <c r="C54" s="8">
        <v>336001.91047637962</v>
      </c>
      <c r="D54" s="8">
        <v>219571.80071397236</v>
      </c>
      <c r="E54" s="8">
        <v>455125.96147388202</v>
      </c>
      <c r="F54" s="8">
        <v>189879.26470811659</v>
      </c>
      <c r="G54" s="8">
        <v>439131.98078300722</v>
      </c>
      <c r="H54" s="8">
        <v>426717.11325799959</v>
      </c>
      <c r="I54" s="8">
        <v>492512.18393739051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7">
        <f t="shared" si="0"/>
        <v>2558940.2153507476</v>
      </c>
    </row>
    <row r="55" spans="2:15" ht="11.45" customHeight="1">
      <c r="B55" s="6" t="s">
        <v>65</v>
      </c>
      <c r="C55" s="8">
        <v>400708.65221226634</v>
      </c>
      <c r="D55" s="8">
        <v>226912.40595867459</v>
      </c>
      <c r="E55" s="8">
        <v>589030.59733411483</v>
      </c>
      <c r="F55" s="8">
        <v>246455.15502021162</v>
      </c>
      <c r="G55" s="8">
        <v>624769.17081626132</v>
      </c>
      <c r="H55" s="8">
        <v>625276.71117390948</v>
      </c>
      <c r="I55" s="8">
        <v>737892.41276522295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7">
        <f t="shared" si="0"/>
        <v>3451045.1052806615</v>
      </c>
    </row>
    <row r="56" spans="2:15" ht="11.45" customHeight="1">
      <c r="B56" s="6" t="s">
        <v>66</v>
      </c>
      <c r="C56" s="8">
        <v>173117.97751962207</v>
      </c>
      <c r="D56" s="8">
        <v>166405.5391545461</v>
      </c>
      <c r="E56" s="8">
        <v>259149.50999403419</v>
      </c>
      <c r="F56" s="8">
        <v>131620.45122544677</v>
      </c>
      <c r="G56" s="8">
        <v>295922.76655765198</v>
      </c>
      <c r="H56" s="8">
        <v>292983.83743253013</v>
      </c>
      <c r="I56" s="8">
        <v>348248.72320107074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7">
        <f t="shared" si="0"/>
        <v>1667448.8050849021</v>
      </c>
    </row>
    <row r="57" spans="2:15" ht="11.45" customHeight="1">
      <c r="B57" s="6" t="s">
        <v>67</v>
      </c>
      <c r="C57" s="8">
        <v>73735.584991006501</v>
      </c>
      <c r="D57" s="8">
        <v>70639.726744530431</v>
      </c>
      <c r="E57" s="8">
        <v>112993.89527308843</v>
      </c>
      <c r="F57" s="8">
        <v>58750.543422265524</v>
      </c>
      <c r="G57" s="8">
        <v>127951.91582520743</v>
      </c>
      <c r="H57" s="8">
        <v>128336.26301326616</v>
      </c>
      <c r="I57" s="8">
        <v>157458.90658014195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7">
        <f t="shared" si="0"/>
        <v>729866.83584950643</v>
      </c>
    </row>
    <row r="58" spans="2:15" ht="11.45" customHeight="1">
      <c r="B58" s="6" t="s">
        <v>68</v>
      </c>
      <c r="C58" s="8">
        <v>127538.11894401193</v>
      </c>
      <c r="D58" s="8">
        <v>98939.253473011107</v>
      </c>
      <c r="E58" s="8">
        <v>161660.37345303292</v>
      </c>
      <c r="F58" s="8">
        <v>83611.999123743517</v>
      </c>
      <c r="G58" s="8">
        <v>193604.4324302403</v>
      </c>
      <c r="H58" s="8">
        <v>169951.47753220753</v>
      </c>
      <c r="I58" s="8">
        <v>242860.43025446704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7">
        <f t="shared" si="0"/>
        <v>1078166.0852107143</v>
      </c>
    </row>
    <row r="59" spans="2:15" ht="11.45" customHeight="1">
      <c r="B59" s="6" t="s">
        <v>69</v>
      </c>
      <c r="C59" s="8">
        <v>26065.043627980514</v>
      </c>
      <c r="D59" s="8">
        <v>31196.539884187914</v>
      </c>
      <c r="E59" s="8">
        <v>28588.808775421847</v>
      </c>
      <c r="F59" s="8">
        <v>33706.747578069611</v>
      </c>
      <c r="G59" s="8">
        <v>37814.376084156749</v>
      </c>
      <c r="H59" s="8">
        <v>37521.101895196334</v>
      </c>
      <c r="I59" s="8">
        <v>39957.064020098878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7">
        <f t="shared" si="0"/>
        <v>234849.68186511187</v>
      </c>
    </row>
    <row r="60" spans="2:15" ht="11.45" customHeight="1">
      <c r="B60" s="6" t="s">
        <v>70</v>
      </c>
      <c r="C60" s="8">
        <v>17143.078873803712</v>
      </c>
      <c r="D60" s="8">
        <v>22959.714313409153</v>
      </c>
      <c r="E60" s="8">
        <v>17844.017129226177</v>
      </c>
      <c r="F60" s="8">
        <v>26513.023016824634</v>
      </c>
      <c r="G60" s="8">
        <v>34147.259365696467</v>
      </c>
      <c r="H60" s="8">
        <v>30372.79830147282</v>
      </c>
      <c r="I60" s="8">
        <v>29522.180226385157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7">
        <f t="shared" si="0"/>
        <v>178502.07122681814</v>
      </c>
    </row>
    <row r="61" spans="2:15" ht="11.45" customHeight="1">
      <c r="B61" s="6" t="s">
        <v>71</v>
      </c>
      <c r="C61" s="8">
        <v>14149.516578294251</v>
      </c>
      <c r="D61" s="8">
        <v>17199.23662384312</v>
      </c>
      <c r="E61" s="8">
        <v>16685.895910670446</v>
      </c>
      <c r="F61" s="8">
        <v>22084.027810782609</v>
      </c>
      <c r="G61" s="8">
        <v>23588.038788184243</v>
      </c>
      <c r="H61" s="8">
        <v>22744.667311947109</v>
      </c>
      <c r="I61" s="8">
        <v>21974.469284805225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7">
        <f t="shared" si="0"/>
        <v>138425.85230852701</v>
      </c>
    </row>
    <row r="62" spans="2:15" ht="11.45" customHeight="1">
      <c r="B62" s="6" t="s">
        <v>72</v>
      </c>
      <c r="C62" s="8">
        <v>17009.006588306151</v>
      </c>
      <c r="D62" s="8">
        <v>19257.627414245162</v>
      </c>
      <c r="E62" s="8">
        <v>17983.520470744843</v>
      </c>
      <c r="F62" s="8">
        <v>24703.362510601033</v>
      </c>
      <c r="G62" s="8">
        <v>25538.965983998907</v>
      </c>
      <c r="H62" s="8">
        <v>25305.510901148369</v>
      </c>
      <c r="I62" s="8">
        <v>25533.520194116336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7">
        <f t="shared" si="0"/>
        <v>155331.51406316081</v>
      </c>
    </row>
    <row r="63" spans="2:15" ht="11.45" customHeight="1">
      <c r="B63" s="6" t="s">
        <v>73</v>
      </c>
      <c r="C63" s="8">
        <v>4697.5854668435195</v>
      </c>
      <c r="D63" s="8">
        <v>5273.538159070391</v>
      </c>
      <c r="E63" s="8">
        <v>4845.4947307213688</v>
      </c>
      <c r="F63" s="8">
        <v>6084.5410212368188</v>
      </c>
      <c r="G63" s="8">
        <v>6711.1172640596596</v>
      </c>
      <c r="H63" s="8">
        <v>6676.0813002998184</v>
      </c>
      <c r="I63" s="8">
        <v>5933.5024343760815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7">
        <f t="shared" si="0"/>
        <v>40221.860376607663</v>
      </c>
    </row>
    <row r="64" spans="2:15" ht="11.45" customHeight="1">
      <c r="B64" s="6" t="s">
        <v>74</v>
      </c>
      <c r="C64" s="8">
        <v>4361.3330569606032</v>
      </c>
      <c r="D64" s="8">
        <v>5114.4743688101944</v>
      </c>
      <c r="E64" s="8">
        <v>4795.1175741446505</v>
      </c>
      <c r="F64" s="8">
        <v>6125.9638088730026</v>
      </c>
      <c r="G64" s="8">
        <v>6723.1414035881799</v>
      </c>
      <c r="H64" s="8">
        <v>6469.4310482580649</v>
      </c>
      <c r="I64" s="8">
        <v>5993.521851366032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7">
        <f t="shared" si="0"/>
        <v>39582.983112000722</v>
      </c>
    </row>
    <row r="65" spans="2:15" ht="11.45" customHeight="1">
      <c r="B65" s="6" t="s">
        <v>75</v>
      </c>
      <c r="C65" s="8">
        <v>967.48799045905434</v>
      </c>
      <c r="D65" s="8">
        <v>999.1638045922989</v>
      </c>
      <c r="E65" s="8">
        <v>787.87058814692398</v>
      </c>
      <c r="F65" s="8">
        <v>1180.3134585206456</v>
      </c>
      <c r="G65" s="8">
        <v>1452.4997713506405</v>
      </c>
      <c r="H65" s="8">
        <v>1174.9071961240245</v>
      </c>
      <c r="I65" s="8">
        <v>1234.2784593668025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7">
        <f t="shared" si="0"/>
        <v>7796.5212685603892</v>
      </c>
    </row>
    <row r="66" spans="2:15" ht="11.45" customHeight="1">
      <c r="B66" s="6" t="s">
        <v>76</v>
      </c>
      <c r="C66" s="8">
        <v>6674.3853174919213</v>
      </c>
      <c r="D66" s="8">
        <v>8014.9103631344751</v>
      </c>
      <c r="E66" s="8">
        <v>6852.962383726569</v>
      </c>
      <c r="F66" s="8">
        <v>9810.6175645214153</v>
      </c>
      <c r="G66" s="8">
        <v>9565.8910368429952</v>
      </c>
      <c r="H66" s="8">
        <v>9522.0484200427618</v>
      </c>
      <c r="I66" s="8">
        <v>10193.606380752824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7">
        <f t="shared" si="0"/>
        <v>60634.421466512962</v>
      </c>
    </row>
    <row r="67" spans="2:15" ht="11.45" customHeight="1">
      <c r="B67" s="1" t="s">
        <v>77</v>
      </c>
      <c r="C67" s="8">
        <v>10640.372939918352</v>
      </c>
      <c r="D67" s="8">
        <v>13310.958550294956</v>
      </c>
      <c r="E67" s="8">
        <v>11825.428223862586</v>
      </c>
      <c r="F67" s="8">
        <v>15301.486996094874</v>
      </c>
      <c r="G67" s="8">
        <v>17293.829560416514</v>
      </c>
      <c r="H67" s="8">
        <v>16784.431289381362</v>
      </c>
      <c r="I67" s="8">
        <v>15728.556594939124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7">
        <f t="shared" si="0"/>
        <v>100885.06415490777</v>
      </c>
    </row>
    <row r="68" spans="2:15" ht="11.45" customHeight="1">
      <c r="B68" s="6" t="s">
        <v>78</v>
      </c>
      <c r="C68" s="8">
        <v>26022.683932804524</v>
      </c>
      <c r="D68" s="8">
        <v>32726.710357665317</v>
      </c>
      <c r="E68" s="8">
        <v>24220.007308609154</v>
      </c>
      <c r="F68" s="8">
        <v>38930.279432615265</v>
      </c>
      <c r="G68" s="8">
        <v>39472.252402291771</v>
      </c>
      <c r="H68" s="8">
        <v>39186.685279385398</v>
      </c>
      <c r="I68" s="8">
        <v>41357.059892675112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7">
        <f t="shared" si="0"/>
        <v>241915.67860604654</v>
      </c>
    </row>
    <row r="69" spans="2:15" ht="11.45" customHeight="1">
      <c r="B69" s="1" t="s">
        <v>79</v>
      </c>
      <c r="C69" s="8">
        <v>15400.945085740026</v>
      </c>
      <c r="D69" s="8">
        <v>19454.366828031114</v>
      </c>
      <c r="E69" s="8">
        <v>18330.846507605176</v>
      </c>
      <c r="F69" s="8">
        <v>21992.29714706794</v>
      </c>
      <c r="G69" s="8">
        <v>22879.325316731381</v>
      </c>
      <c r="H69" s="8">
        <v>23530.527629998734</v>
      </c>
      <c r="I69" s="8">
        <v>24364.766466326473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7">
        <f t="shared" si="0"/>
        <v>145953.07498150083</v>
      </c>
    </row>
    <row r="70" spans="2:15" ht="11.45" customHeight="1">
      <c r="B70" s="6" t="s">
        <v>80</v>
      </c>
      <c r="C70" s="8">
        <v>1366113.8438926463</v>
      </c>
      <c r="D70" s="8">
        <v>1140877.3121462583</v>
      </c>
      <c r="E70" s="8">
        <v>1729800.8832353519</v>
      </c>
      <c r="F70" s="8">
        <v>1928902.5512849553</v>
      </c>
      <c r="G70" s="8">
        <v>1539393.3823640957</v>
      </c>
      <c r="H70" s="8">
        <v>1404334.0339768897</v>
      </c>
      <c r="I70" s="8">
        <v>1450941.0044748266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7">
        <f t="shared" si="0"/>
        <v>10560363.011375025</v>
      </c>
    </row>
    <row r="71" spans="2:15" ht="11.45" customHeight="1">
      <c r="B71" s="6" t="s">
        <v>81</v>
      </c>
      <c r="C71" s="8">
        <v>37344.650113790893</v>
      </c>
      <c r="D71" s="8">
        <v>22405.390569426232</v>
      </c>
      <c r="E71" s="8">
        <v>33731.668667715057</v>
      </c>
      <c r="F71" s="8">
        <v>80471.895599994401</v>
      </c>
      <c r="G71" s="8">
        <v>41110.12779242816</v>
      </c>
      <c r="H71" s="8">
        <v>31551.944190384285</v>
      </c>
      <c r="I71" s="8">
        <v>25665.91044375507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7">
        <f t="shared" si="0"/>
        <v>272281.58737749408</v>
      </c>
    </row>
    <row r="72" spans="2:15" ht="11.45" customHeight="1">
      <c r="B72" s="6" t="s">
        <v>82</v>
      </c>
      <c r="C72" s="8">
        <v>1259592.5702218669</v>
      </c>
      <c r="D72" s="8">
        <v>2155315.4657742917</v>
      </c>
      <c r="E72" s="8">
        <v>3720232.2474025236</v>
      </c>
      <c r="F72" s="8">
        <v>3566584.078627117</v>
      </c>
      <c r="G72" s="8">
        <v>3545050.5993425371</v>
      </c>
      <c r="H72" s="8">
        <v>3438662.0852076435</v>
      </c>
      <c r="I72" s="8">
        <v>3590559.8754936792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7">
        <f t="shared" si="0"/>
        <v>21275996.922069661</v>
      </c>
    </row>
    <row r="73" spans="2:15" ht="11.45" customHeight="1">
      <c r="B73" s="6" t="s">
        <v>83</v>
      </c>
      <c r="C73" s="8">
        <v>780314.96731662168</v>
      </c>
      <c r="D73" s="8">
        <v>691097.4053268478</v>
      </c>
      <c r="E73" s="8">
        <v>390795.89554497704</v>
      </c>
      <c r="F73" s="8">
        <v>938421.54210051359</v>
      </c>
      <c r="G73" s="8">
        <v>837240.78423925617</v>
      </c>
      <c r="H73" s="8">
        <v>689689.83325096092</v>
      </c>
      <c r="I73" s="8">
        <v>930843.49391669151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7">
        <f t="shared" ref="O73:O99" si="1">SUM(C73:N73)</f>
        <v>5258403.9216958685</v>
      </c>
    </row>
    <row r="74" spans="2:15" ht="11.45" customHeight="1">
      <c r="B74" s="6" t="s">
        <v>84</v>
      </c>
      <c r="C74" s="8">
        <v>2191776.0216564708</v>
      </c>
      <c r="D74" s="8">
        <v>2203994.0087925112</v>
      </c>
      <c r="E74" s="8">
        <v>2476583.295561485</v>
      </c>
      <c r="F74" s="8">
        <v>2431778.7941813208</v>
      </c>
      <c r="G74" s="8">
        <v>2429285.3944376139</v>
      </c>
      <c r="H74" s="8">
        <v>2428254.0701997597</v>
      </c>
      <c r="I74" s="8">
        <v>2474083.5611202149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7">
        <f t="shared" si="1"/>
        <v>16635755.145949375</v>
      </c>
    </row>
    <row r="75" spans="2:15" ht="11.45" customHeight="1">
      <c r="B75" s="6" t="s">
        <v>85</v>
      </c>
      <c r="C75" s="8">
        <v>6297.0618584845715</v>
      </c>
      <c r="D75" s="8">
        <v>6796.653475744225</v>
      </c>
      <c r="E75" s="8">
        <v>5932.1439957060493</v>
      </c>
      <c r="F75" s="8">
        <v>21472.231390292283</v>
      </c>
      <c r="G75" s="8">
        <v>10734.472729056468</v>
      </c>
      <c r="H75" s="8">
        <v>9150.9884409983606</v>
      </c>
      <c r="I75" s="8">
        <v>7483.8070360488737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7">
        <f t="shared" si="1"/>
        <v>67867.358926330839</v>
      </c>
    </row>
    <row r="76" spans="2:15" ht="11.45" customHeight="1">
      <c r="B76" s="6" t="s">
        <v>86</v>
      </c>
      <c r="C76" s="8">
        <v>53177.493546692029</v>
      </c>
      <c r="D76" s="8">
        <v>30556.85972536483</v>
      </c>
      <c r="E76" s="8">
        <v>50528.453362028507</v>
      </c>
      <c r="F76" s="8">
        <v>69762.797442834621</v>
      </c>
      <c r="G76" s="8">
        <v>50430.998971795365</v>
      </c>
      <c r="H76" s="8">
        <v>36310.25763638124</v>
      </c>
      <c r="I76" s="8">
        <v>36090.871322131694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7">
        <f t="shared" si="1"/>
        <v>326857.7320072283</v>
      </c>
    </row>
    <row r="77" spans="2:15" ht="11.45" customHeight="1">
      <c r="B77" s="6" t="s">
        <v>87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7">
        <f t="shared" si="1"/>
        <v>0</v>
      </c>
    </row>
    <row r="78" spans="2:15" ht="11.45" customHeight="1">
      <c r="B78" s="6" t="s">
        <v>88</v>
      </c>
      <c r="C78" s="8">
        <v>0</v>
      </c>
      <c r="D78" s="8">
        <v>0.49748743718592003</v>
      </c>
      <c r="E78" s="8">
        <v>0</v>
      </c>
      <c r="F78" s="8">
        <v>0</v>
      </c>
      <c r="G78" s="8">
        <v>0</v>
      </c>
      <c r="H78" s="8">
        <v>2.1457286432160654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7">
        <f t="shared" si="1"/>
        <v>2.6432160804019853</v>
      </c>
    </row>
    <row r="79" spans="2:15" ht="11.45" customHeight="1">
      <c r="B79" s="6" t="s">
        <v>89</v>
      </c>
      <c r="C79" s="8">
        <v>31036.659704278569</v>
      </c>
      <c r="D79" s="8">
        <v>21159.827080156709</v>
      </c>
      <c r="E79" s="8">
        <v>22324.560157535318</v>
      </c>
      <c r="F79" s="8">
        <v>14107.549482709172</v>
      </c>
      <c r="G79" s="8">
        <v>20909.329582683295</v>
      </c>
      <c r="H79" s="8">
        <v>24259.754924511366</v>
      </c>
      <c r="I79" s="8">
        <v>28008.704211074986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7">
        <f t="shared" si="1"/>
        <v>161806.38514294941</v>
      </c>
    </row>
    <row r="80" spans="2:15" ht="11.45" customHeight="1">
      <c r="B80" s="6" t="s">
        <v>90</v>
      </c>
      <c r="C80" s="8">
        <v>12587.604561506725</v>
      </c>
      <c r="D80" s="8">
        <v>6750.5779685243124</v>
      </c>
      <c r="E80" s="8">
        <v>7459.446431962826</v>
      </c>
      <c r="F80" s="8">
        <v>5308.3745090197563</v>
      </c>
      <c r="G80" s="8">
        <v>12825.716743528745</v>
      </c>
      <c r="H80" s="8">
        <v>13448.46734783809</v>
      </c>
      <c r="I80" s="8">
        <v>13192.279945207791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7">
        <f t="shared" si="1"/>
        <v>71572.467507588241</v>
      </c>
    </row>
    <row r="81" spans="2:15" ht="11.45" customHeight="1">
      <c r="B81" s="6" t="s">
        <v>91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7">
        <f t="shared" si="1"/>
        <v>0</v>
      </c>
    </row>
    <row r="82" spans="2:15" ht="11.45" customHeight="1">
      <c r="B82" s="6" t="s">
        <v>92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7">
        <f t="shared" si="1"/>
        <v>0</v>
      </c>
    </row>
    <row r="83" spans="2:15" ht="11.45" customHeight="1">
      <c r="B83" s="6" t="s">
        <v>93</v>
      </c>
      <c r="C83" s="8">
        <v>298398.82623617374</v>
      </c>
      <c r="D83" s="8">
        <v>267778.3841680527</v>
      </c>
      <c r="E83" s="8">
        <v>265799.82953737641</v>
      </c>
      <c r="F83" s="8">
        <v>274631.96571954654</v>
      </c>
      <c r="G83" s="8">
        <v>323228.25605582708</v>
      </c>
      <c r="H83" s="8">
        <v>318968.61440667987</v>
      </c>
      <c r="I83" s="8">
        <v>329861.87277946895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7">
        <f t="shared" si="1"/>
        <v>2078667.7489031255</v>
      </c>
    </row>
    <row r="84" spans="2:15" ht="11.45" customHeight="1">
      <c r="B84" s="6" t="s">
        <v>94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7">
        <f t="shared" si="1"/>
        <v>0</v>
      </c>
    </row>
    <row r="85" spans="2:15" ht="11.45" customHeight="1">
      <c r="B85" s="6" t="s">
        <v>95</v>
      </c>
      <c r="C85" s="8">
        <v>2069987.4264129035</v>
      </c>
      <c r="D85" s="8">
        <v>1396376.4107154747</v>
      </c>
      <c r="E85" s="8">
        <v>1751946.8540835704</v>
      </c>
      <c r="F85" s="8">
        <v>2061062.3126977335</v>
      </c>
      <c r="G85" s="8">
        <v>1507442.6935419305</v>
      </c>
      <c r="H85" s="8">
        <v>978490.4573405406</v>
      </c>
      <c r="I85" s="8">
        <v>2045287.204224695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7">
        <f t="shared" si="1"/>
        <v>11810593.359016849</v>
      </c>
    </row>
    <row r="86" spans="2:15" ht="11.45" customHeight="1">
      <c r="B86" s="6" t="s">
        <v>96</v>
      </c>
      <c r="C86" s="8">
        <v>196320.1887736239</v>
      </c>
      <c r="D86" s="8">
        <v>212381.95520135949</v>
      </c>
      <c r="E86" s="8">
        <v>266724.87309341121</v>
      </c>
      <c r="F86" s="8">
        <v>384729.52419527748</v>
      </c>
      <c r="G86" s="8">
        <v>353113.79461801302</v>
      </c>
      <c r="H86" s="8">
        <v>261311.03712849884</v>
      </c>
      <c r="I86" s="8">
        <v>256556.87727982792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7">
        <f t="shared" si="1"/>
        <v>1931138.2502900118</v>
      </c>
    </row>
    <row r="87" spans="2:15" ht="11.45" customHeight="1">
      <c r="B87" s="6" t="s">
        <v>97</v>
      </c>
      <c r="C87" s="8">
        <v>67149.374810265173</v>
      </c>
      <c r="D87" s="8">
        <v>59085.026951530563</v>
      </c>
      <c r="E87" s="8">
        <v>56180.984612753833</v>
      </c>
      <c r="F87" s="8">
        <v>121962.75031065076</v>
      </c>
      <c r="G87" s="8">
        <v>97304.93334011687</v>
      </c>
      <c r="H87" s="8">
        <v>83759.009919717108</v>
      </c>
      <c r="I87" s="8">
        <v>77262.137984546716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7">
        <f t="shared" si="1"/>
        <v>562704.21792958106</v>
      </c>
    </row>
    <row r="88" spans="2:15" ht="11.45" customHeight="1">
      <c r="B88" s="6" t="s">
        <v>98</v>
      </c>
      <c r="C88" s="8">
        <v>19528.030142760697</v>
      </c>
      <c r="D88" s="8">
        <v>18410.877467785154</v>
      </c>
      <c r="E88" s="8">
        <v>17627.169554830441</v>
      </c>
      <c r="F88" s="8">
        <v>79635.53829674529</v>
      </c>
      <c r="G88" s="8">
        <v>46009.831659694442</v>
      </c>
      <c r="H88" s="8">
        <v>29684.57399317791</v>
      </c>
      <c r="I88" s="8">
        <v>23204.576197864648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7">
        <f t="shared" si="1"/>
        <v>234100.59731285856</v>
      </c>
    </row>
    <row r="89" spans="2:15" ht="11.45" customHeight="1">
      <c r="B89" s="1" t="s">
        <v>99</v>
      </c>
      <c r="C89" s="8">
        <v>15136.707352400452</v>
      </c>
      <c r="D89" s="8">
        <v>17883.133572015577</v>
      </c>
      <c r="E89" s="8">
        <v>17419.131550272301</v>
      </c>
      <c r="F89" s="8">
        <v>21216.829197762385</v>
      </c>
      <c r="G89" s="8">
        <v>23386.572648169797</v>
      </c>
      <c r="H89" s="8">
        <v>23277.024478165698</v>
      </c>
      <c r="I89" s="8">
        <v>20119.082155559652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7">
        <f t="shared" si="1"/>
        <v>138438.48095434587</v>
      </c>
    </row>
    <row r="90" spans="2:15" ht="11.45" customHeight="1">
      <c r="B90" s="1" t="s">
        <v>100</v>
      </c>
      <c r="C90" s="8">
        <v>15702.822722062243</v>
      </c>
      <c r="D90" s="8">
        <v>18354.126592839079</v>
      </c>
      <c r="E90" s="8">
        <v>18089.184008402281</v>
      </c>
      <c r="F90" s="8">
        <v>22459.055139627882</v>
      </c>
      <c r="G90" s="8">
        <v>24501.874357271809</v>
      </c>
      <c r="H90" s="8">
        <v>24461.032001048552</v>
      </c>
      <c r="I90" s="8">
        <v>20858.930367673362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7">
        <f t="shared" si="1"/>
        <v>144427.02518892521</v>
      </c>
    </row>
    <row r="91" spans="2:15" ht="11.45" customHeight="1">
      <c r="B91" s="1" t="s">
        <v>101</v>
      </c>
      <c r="C91" s="8">
        <v>11916.361076571227</v>
      </c>
      <c r="D91" s="8">
        <v>12395.049819217949</v>
      </c>
      <c r="E91" s="8">
        <v>11256.563680132553</v>
      </c>
      <c r="F91" s="8">
        <v>13633.549174230551</v>
      </c>
      <c r="G91" s="8">
        <v>15638.885230282254</v>
      </c>
      <c r="H91" s="8">
        <v>15558.39064120755</v>
      </c>
      <c r="I91" s="8">
        <v>15119.555200412047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7">
        <f t="shared" si="1"/>
        <v>95518.354822054127</v>
      </c>
    </row>
    <row r="92" spans="2:15" ht="11.45" customHeight="1">
      <c r="B92" s="1" t="s">
        <v>102</v>
      </c>
      <c r="C92" s="8">
        <v>11760.298409540281</v>
      </c>
      <c r="D92" s="8">
        <v>12361.77624926667</v>
      </c>
      <c r="E92" s="8">
        <v>11344.267511322965</v>
      </c>
      <c r="F92" s="8">
        <v>13773.967432843023</v>
      </c>
      <c r="G92" s="8">
        <v>15733.205609192271</v>
      </c>
      <c r="H92" s="8">
        <v>15545.908663109396</v>
      </c>
      <c r="I92" s="8">
        <v>15028.282645703841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7">
        <f t="shared" si="1"/>
        <v>95547.706520978449</v>
      </c>
    </row>
    <row r="93" spans="2:15" ht="12.75" customHeight="1">
      <c r="B93" s="1" t="s">
        <v>103</v>
      </c>
      <c r="C93" s="8">
        <v>11883.004174635273</v>
      </c>
      <c r="D93" s="8">
        <v>12461.325529317441</v>
      </c>
      <c r="E93" s="8">
        <v>11366.216482794343</v>
      </c>
      <c r="F93" s="8">
        <v>13877.634135883573</v>
      </c>
      <c r="G93" s="8">
        <v>15886.699493607501</v>
      </c>
      <c r="H93" s="8">
        <v>15739.833287289939</v>
      </c>
      <c r="I93" s="8">
        <v>15221.486679123234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7">
        <f t="shared" si="1"/>
        <v>96436.199782651296</v>
      </c>
    </row>
    <row r="94" spans="2:15" ht="11.45" customHeight="1">
      <c r="B94" s="1" t="s">
        <v>104</v>
      </c>
      <c r="C94" s="8">
        <v>193354.05026963353</v>
      </c>
      <c r="D94" s="8">
        <v>135756.83399323083</v>
      </c>
      <c r="E94" s="8">
        <v>199247.30113828296</v>
      </c>
      <c r="F94" s="8">
        <v>190299.49038344814</v>
      </c>
      <c r="G94" s="8">
        <v>184035.58872324621</v>
      </c>
      <c r="H94" s="8">
        <v>191911.62975276008</v>
      </c>
      <c r="I94" s="8">
        <v>204157.61204030082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7">
        <f t="shared" si="1"/>
        <v>1298762.5063009027</v>
      </c>
    </row>
    <row r="95" spans="2:15" ht="11.45" customHeight="1">
      <c r="B95" s="1" t="s">
        <v>105</v>
      </c>
      <c r="C95" s="8">
        <v>23854.224647970474</v>
      </c>
      <c r="D95" s="8">
        <v>27717.733570391705</v>
      </c>
      <c r="E95" s="8">
        <v>24929.697065084038</v>
      </c>
      <c r="F95" s="8">
        <v>32573.604544470087</v>
      </c>
      <c r="G95" s="8">
        <v>37922.347805649057</v>
      </c>
      <c r="H95" s="8">
        <v>34978.96126321669</v>
      </c>
      <c r="I95" s="8">
        <v>32365.320951449066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7">
        <f t="shared" si="1"/>
        <v>214341.88984823113</v>
      </c>
    </row>
    <row r="96" spans="2:15" ht="11.45" customHeight="1">
      <c r="B96" s="1" t="s">
        <v>106</v>
      </c>
      <c r="C96" s="8">
        <v>10054.469318594452</v>
      </c>
      <c r="D96" s="8">
        <v>11987.881035215685</v>
      </c>
      <c r="E96" s="8">
        <v>10967.685711509532</v>
      </c>
      <c r="F96" s="8">
        <v>12044.506962572261</v>
      </c>
      <c r="G96" s="8">
        <v>13677.881163861353</v>
      </c>
      <c r="H96" s="8">
        <v>14121.362076036248</v>
      </c>
      <c r="I96" s="8">
        <v>14446.850006510243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7">
        <f t="shared" si="1"/>
        <v>87300.636274299774</v>
      </c>
    </row>
    <row r="97" spans="2:15" ht="11.45" customHeight="1">
      <c r="B97" s="1" t="s">
        <v>107</v>
      </c>
      <c r="C97" s="8">
        <v>2479.488423392309</v>
      </c>
      <c r="D97" s="8">
        <v>2957.8842637889084</v>
      </c>
      <c r="E97" s="8">
        <v>2643.5355265607704</v>
      </c>
      <c r="F97" s="8">
        <v>3250.8663473425408</v>
      </c>
      <c r="G97" s="8">
        <v>3502.2913206507196</v>
      </c>
      <c r="H97" s="8">
        <v>3504.9313021858247</v>
      </c>
      <c r="I97" s="8">
        <v>3716.2384377779636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7">
        <f t="shared" si="1"/>
        <v>22055.235621699037</v>
      </c>
    </row>
    <row r="98" spans="2:15" ht="11.45" customHeight="1">
      <c r="B98" s="1" t="s">
        <v>108</v>
      </c>
      <c r="C98" s="8">
        <v>2488.5836079667833</v>
      </c>
      <c r="D98" s="8">
        <v>2962.8658525748501</v>
      </c>
      <c r="E98" s="8">
        <v>2662.114828929723</v>
      </c>
      <c r="F98" s="8">
        <v>3217.440504821484</v>
      </c>
      <c r="G98" s="8">
        <v>3632.9405888867059</v>
      </c>
      <c r="H98" s="8">
        <v>3552.5436071801464</v>
      </c>
      <c r="I98" s="8">
        <v>3724.4034212241872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7">
        <f t="shared" si="1"/>
        <v>22240.892411583878</v>
      </c>
    </row>
    <row r="99" spans="2:15">
      <c r="B99" s="1" t="s">
        <v>109</v>
      </c>
      <c r="C99" s="8">
        <v>13413.787258300204</v>
      </c>
      <c r="D99" s="8">
        <v>15726.949015466536</v>
      </c>
      <c r="E99" s="8">
        <v>12651.546299556672</v>
      </c>
      <c r="F99" s="8">
        <v>17791.366755624855</v>
      </c>
      <c r="G99" s="8">
        <v>20973.160314733454</v>
      </c>
      <c r="H99" s="8">
        <v>17943.988366084232</v>
      </c>
      <c r="I99" s="8">
        <v>18446.125543490434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7">
        <f t="shared" si="1"/>
        <v>116946.92355325638</v>
      </c>
    </row>
    <row r="100" spans="2:15" ht="11.45" customHeight="1">
      <c r="B100" s="1" t="s">
        <v>110</v>
      </c>
      <c r="C100" s="8">
        <v>7668.8987295508705</v>
      </c>
      <c r="D100" s="8">
        <v>8827.3693018207196</v>
      </c>
      <c r="E100" s="8">
        <v>7819.0600172366048</v>
      </c>
      <c r="F100" s="8">
        <v>10348.547329810654</v>
      </c>
      <c r="G100" s="8">
        <v>11825.245289324275</v>
      </c>
      <c r="H100" s="8">
        <v>11539.242754580187</v>
      </c>
      <c r="I100" s="8">
        <v>11081.800076960928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7">
        <f>SUM(C100:N100)</f>
        <v>69110.163499284245</v>
      </c>
    </row>
    <row r="101" spans="2:15" ht="11.45" customHeight="1">
      <c r="B101" s="1" t="s">
        <v>111</v>
      </c>
      <c r="C101" s="8">
        <v>7009.267174749848</v>
      </c>
      <c r="D101" s="8">
        <v>7111.5481596157433</v>
      </c>
      <c r="E101" s="8">
        <v>7639.3840076579954</v>
      </c>
      <c r="F101" s="8">
        <v>9930.9584546410824</v>
      </c>
      <c r="G101" s="8">
        <v>11975.68835958666</v>
      </c>
      <c r="H101" s="8">
        <v>11761.279883970972</v>
      </c>
      <c r="I101" s="8">
        <v>11525.055589737573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7">
        <f t="shared" ref="O101" si="2">SUM(C101:N101)</f>
        <v>66953.181629959872</v>
      </c>
    </row>
    <row r="102" spans="2:15" ht="11.45" customHeight="1">
      <c r="B102" s="1" t="s">
        <v>112</v>
      </c>
      <c r="C102" s="12">
        <v>15227.886975868596</v>
      </c>
      <c r="D102" s="8">
        <v>16434.940868357495</v>
      </c>
      <c r="E102" s="8">
        <v>41705.979882108695</v>
      </c>
      <c r="F102" s="8">
        <v>17324.497694639187</v>
      </c>
      <c r="G102" s="8">
        <v>46306.326687286048</v>
      </c>
      <c r="H102" s="8">
        <v>42045.18181101347</v>
      </c>
      <c r="I102" s="8">
        <v>44900.983166704442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7">
        <f>SUM(C102:N102)</f>
        <v>223945.79708597792</v>
      </c>
    </row>
    <row r="103" spans="2:15" ht="11.45" customHeight="1">
      <c r="B103" s="1" t="s">
        <v>113</v>
      </c>
      <c r="C103" s="8">
        <v>1.1941614863797999E-3</v>
      </c>
      <c r="D103" s="8">
        <v>0</v>
      </c>
      <c r="E103" s="8">
        <v>2386944.7919019205</v>
      </c>
      <c r="F103" s="8">
        <v>2968167.3673913577</v>
      </c>
      <c r="G103" s="8">
        <v>1047779.9826667071</v>
      </c>
      <c r="H103" s="8">
        <v>2089545.878582726</v>
      </c>
      <c r="I103" s="8">
        <v>1207203.9969850609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7">
        <f t="shared" ref="O103:O105" si="3">SUM(C103:N103)</f>
        <v>9699642.0187219325</v>
      </c>
    </row>
    <row r="104" spans="2:15" ht="11.45" customHeight="1">
      <c r="B104" s="1" t="s">
        <v>114</v>
      </c>
      <c r="C104" s="8">
        <v>0</v>
      </c>
      <c r="D104" s="8">
        <v>0</v>
      </c>
      <c r="E104" s="8">
        <v>0.30013086582849779</v>
      </c>
      <c r="F104" s="8">
        <v>5988.7093065065728</v>
      </c>
      <c r="G104" s="8">
        <v>6189.3513632927961</v>
      </c>
      <c r="H104" s="8">
        <v>5159.3757151512909</v>
      </c>
      <c r="I104" s="8">
        <v>5300.9149847479548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7">
        <f t="shared" si="3"/>
        <v>22638.651500564447</v>
      </c>
    </row>
    <row r="105" spans="2:15" ht="11.45" customHeight="1">
      <c r="B105" s="1" t="s">
        <v>115</v>
      </c>
      <c r="C105" s="8">
        <v>0</v>
      </c>
      <c r="D105" s="8">
        <v>0</v>
      </c>
      <c r="E105" s="8">
        <v>0</v>
      </c>
      <c r="F105" s="8">
        <v>0</v>
      </c>
      <c r="G105" s="8">
        <v>143167.92528325095</v>
      </c>
      <c r="H105" s="8">
        <v>374690.963948727</v>
      </c>
      <c r="I105" s="8">
        <v>382342.00653980713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7">
        <f t="shared" si="3"/>
        <v>900200.89577178517</v>
      </c>
    </row>
    <row r="106" spans="2:15" ht="27" customHeight="1">
      <c r="B106" s="3" t="s">
        <v>116</v>
      </c>
      <c r="C106" s="10">
        <f>SUM(C8:C105)</f>
        <v>63696336.702497236</v>
      </c>
      <c r="D106" s="10">
        <f t="shared" ref="D106:N106" si="4">SUM(D8:D105)</f>
        <v>54307283.585343786</v>
      </c>
      <c r="E106" s="10">
        <f t="shared" si="4"/>
        <v>68258805.22099179</v>
      </c>
      <c r="F106" s="10">
        <f t="shared" si="4"/>
        <v>50342143.908327959</v>
      </c>
      <c r="G106" s="10">
        <f t="shared" si="4"/>
        <v>62027191.267595574</v>
      </c>
      <c r="H106" s="10">
        <f t="shared" si="4"/>
        <v>74302465.885410592</v>
      </c>
      <c r="I106" s="10">
        <f t="shared" si="4"/>
        <v>81591699.881608605</v>
      </c>
      <c r="J106" s="10">
        <f t="shared" si="4"/>
        <v>0</v>
      </c>
      <c r="K106" s="10">
        <f t="shared" si="4"/>
        <v>0</v>
      </c>
      <c r="L106" s="10">
        <f t="shared" si="4"/>
        <v>0</v>
      </c>
      <c r="M106" s="10">
        <f t="shared" si="4"/>
        <v>0</v>
      </c>
      <c r="N106" s="10">
        <f t="shared" si="4"/>
        <v>0</v>
      </c>
      <c r="O106" s="10">
        <f>SUM(O8:O105)</f>
        <v>454525926.45177561</v>
      </c>
    </row>
    <row r="107" spans="2:15" ht="5.0999999999999996" customHeight="1"/>
    <row r="108" spans="2:15" ht="15" customHeight="1">
      <c r="B108" s="13" t="s">
        <v>121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2:15" ht="14.25" customHeight="1">
      <c r="B109" s="13" t="s">
        <v>122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2:15" ht="31.5" customHeight="1">
      <c r="B110" s="15" t="s">
        <v>123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2:15" ht="14.25" customHeight="1">
      <c r="B111" s="13" t="s">
        <v>124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2:15">
      <c r="B112" s="13" t="s">
        <v>125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</sheetData>
  <mergeCells count="9">
    <mergeCell ref="B110:O110"/>
    <mergeCell ref="B111:O111"/>
    <mergeCell ref="B112:O112"/>
    <mergeCell ref="B2:O2"/>
    <mergeCell ref="B3:O3"/>
    <mergeCell ref="B4:O4"/>
    <mergeCell ref="B5:O5"/>
    <mergeCell ref="B108:O108"/>
    <mergeCell ref="B109:O109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Flady Cordero</dc:creator>
  <cp:keywords/>
  <dc:description/>
  <cp:lastModifiedBy>Flady Cordero</cp:lastModifiedBy>
  <cp:revision/>
  <dcterms:created xsi:type="dcterms:W3CDTF">2026-08-18T20:19:10Z</dcterms:created>
  <dcterms:modified xsi:type="dcterms:W3CDTF">2026-08-24T15:17:39Z</dcterms:modified>
  <cp:category/>
  <cp:contentStatus/>
</cp:coreProperties>
</file>